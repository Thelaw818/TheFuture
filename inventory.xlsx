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7f24418b6998444c" /></Relationships>
</file>

<file path=xl/workbook.xml><?xml version="1.0" encoding="utf-8"?>
<x:workbook xmlns:x="http://schemas.openxmlformats.org/spreadsheetml/2006/main">
  <x:sheets>
    <x:sheet xmlns:r="http://schemas.openxmlformats.org/officeDocument/2006/relationships" name="Dashboard" sheetId="1" r:id="R3f1c6dd88bd84a02"/>
    <x:sheet xmlns:r="http://schemas.openxmlformats.org/officeDocument/2006/relationships" name="COA Database" sheetId="2" r:id="R95d19237d6884357"/>
    <x:sheet xmlns:r="http://schemas.openxmlformats.org/officeDocument/2006/relationships" name="Purity Rankings" sheetId="3" r:id="R2fe74c4a9ca948b7"/>
    <x:sheet xmlns:r="http://schemas.openxmlformats.org/officeDocument/2006/relationships" name="Batch History" sheetId="4" r:id="R26d82086a62141dc"/>
    <x:sheet xmlns:r="http://schemas.openxmlformats.org/officeDocument/2006/relationships" name="Lab Match" sheetId="5" r:id="Rfb5960aef7fb417c"/>
    <x:sheet xmlns:r="http://schemas.openxmlformats.org/officeDocument/2006/relationships" name="Inventory" sheetId="6" r:id="R9951a456bb26439c"/>
    <x:sheet xmlns:r="http://schemas.openxmlformats.org/officeDocument/2006/relationships" name="Certificates" sheetId="7" r:id="Raeb42aebad2a4062"/>
    <x:sheet xmlns:r="http://schemas.openxmlformats.org/officeDocument/2006/relationships" name="Lists" sheetId="8" r:id="R485f7c81899b4306"/>
    <x:sheet xmlns:r="http://schemas.openxmlformats.org/officeDocument/2006/relationships" name="README" sheetId="9" r:id="R348e71b711284376"/>
    <x:sheet xmlns:r="http://schemas.openxmlformats.org/officeDocument/2006/relationships" name="COA Status" sheetId="10" r:id="Reaf69b2fbe114e4c"/>
    <x:sheet xmlns:r="http://schemas.openxmlformats.org/officeDocument/2006/relationships" name="Half-Life Reference" sheetId="11" r:id="R59c836d109ed4b3f"/>
    <x:sheet xmlns:r="http://schemas.openxmlformats.org/officeDocument/2006/relationships" name="COA_Reta30_Kovera" sheetId="12" r:id="R4e9d6465cc09439c"/>
    <x:sheet xmlns:r="http://schemas.openxmlformats.org/officeDocument/2006/relationships" name="COA_Reta40_Kovera" sheetId="13" r:id="Rff1c516ce68c42f2"/>
    <x:sheet xmlns:r="http://schemas.openxmlformats.org/officeDocument/2006/relationships" name="COA_Adamax_SteriGenix" sheetId="14" r:id="Rd2f403d01b4442b5"/>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164" formatCode="0.000%"/>
    <x:numFmt numFmtId="165" formatCode="0.0%"/>
    <x:numFmt numFmtId="166" formatCode="yyyy\-mm\-dd"/>
    <x:numFmt numFmtId="167" formatCode="0.000"/>
    <x:numFmt numFmtId="168" formatCode="yyyy-mm-dd"/>
    <x:numFmt numFmtId="169" formatCode="m/d/yyyy"/>
    <x:numFmt numFmtId="170" formatCode="yyyy-mm-dd h:mm:ss"/>
    <x:numFmt numFmtId="171" formatCode="dd mmm yyyy"/>
  </x:numFmts>
  <x:fonts count="21">
    <x:font>
      <x:sz val="11"/>
      <x:name val="Carlito"/>
    </x:font>
    <x:font>
      <x:b/>
      <x:sz val="11"/>
      <x:color rgb="FFFFFFFF"/>
      <x:name val="Carlito"/>
    </x:font>
    <x:font>
      <x:b/>
      <x:sz val="18"/>
      <x:color rgb="FFFFFFFF"/>
      <x:name val="Carlito"/>
    </x:font>
    <x:font>
      <x:b/>
      <x:sz val="11"/>
      <x:name val="Carlito"/>
    </x:font>
    <x:font>
      <x:i/>
      <x:sz val="11"/>
      <x:color rgb="FF374151"/>
      <x:name val="Carlito"/>
    </x:font>
    <x:font>
      <x:b/>
      <x:sz val="13"/>
      <x:color rgb="FFFFFFFF"/>
      <x:name val="Carlito"/>
    </x:font>
    <x:font>
      <x:sz val="11"/>
      <x:color rgb="FF064E3B"/>
      <x:name val="Carlito"/>
    </x:font>
    <x:font>
      <x:b/>
      <x:sz val="12"/>
      <x:color rgb="FFFFFFFF"/>
      <x:name val="Carlito"/>
    </x:font>
    <x:font>
      <x:sz val="10"/>
      <x:color rgb="FF111827"/>
      <x:name val="Carlito"/>
    </x:font>
    <x:font>
      <x:b/>
      <x:sz val="10"/>
      <x:color rgb="FF92400E"/>
      <x:name val="Carlito"/>
    </x:font>
    <x:font>
      <x:b/>
      <x:sz val="16"/>
      <x:color rgb="FFFFFFFF"/>
      <x:name val="Carlito"/>
    </x:font>
    <x:font>
      <x:b/>
      <x:color rgb="FFFFFFFF"/>
    </x:font>
    <x:font>
      <x:b/>
      <x:sz val="16"/>
      <x:color rgb="FFFFFFFF"/>
    </x:font>
    <x:font>
      <x:b/>
      <x:sz val="14"/>
      <x:color rgb="FFFFFFFF"/>
    </x:font>
    <x:font>
      <x:b/>
      <x:sz val="11"/>
      <x:color rgb="FF374151"/>
      <x:name val="Carlito"/>
    </x:font>
    <x:font>
      <x:b/>
      <x:sz val="11"/>
      <x:color rgb="FF111827"/>
      <x:name val="Carlito"/>
    </x:font>
    <x:font>
      <x:b/>
      <x:color rgb="FFFFFFFF"/>
    </x:font>
    <x:font>
      <x:b/>
      <x:color rgb="FF111827"/>
    </x:font>
    <x:font>
      <x:b/>
      <x:sz val="14"/>
      <x:color rgb="FFFFFFFF"/>
    </x:font>
    <x:font>
      <x:b/>
      <x:sz val="16"/>
      <x:color rgb="FFFFFFFF"/>
    </x:font>
    <x:font>
      <x:sz val="12"/>
      <x:color theme="10"/>
      <x:name val="Calibri"/>
    </x:font>
  </x:fonts>
  <x:fills count="41">
    <x:fill>
      <x:patternFill patternType="none"/>
    </x:fill>
    <x:fill>
      <x:patternFill patternType="gray125"/>
    </x:fill>
    <x:fill>
      <x:patternFill patternType="solid">
        <x:fgColor rgb="FF0B1F33"/>
      </x:patternFill>
    </x:fill>
    <x:fill>
      <x:patternFill patternType="solid">
        <x:fgColor rgb="FFE0F2FE"/>
      </x:patternFill>
    </x:fill>
    <x:fill>
      <x:patternFill patternType="solid">
        <x:fgColor rgb="FFF8FAFC"/>
      </x:patternFill>
    </x:fill>
    <x:fill>
      <x:patternFill patternType="solid">
        <x:fgColor rgb="FF111827"/>
      </x:patternFill>
    </x:fill>
    <x:fill>
      <x:patternFill patternType="solid">
        <x:fgColor rgb="FFE5E7EB"/>
      </x:patternFill>
    </x:fill>
    <x:fill>
      <x:patternFill patternType="solid">
        <x:fgColor rgb="FF0F766E"/>
      </x:patternFill>
    </x:fill>
    <x:fill>
      <x:patternFill patternType="solid">
        <x:fgColor rgb="FFECFDF5"/>
      </x:patternFill>
    </x:fill>
    <x:fill>
      <x:patternFill patternType="solid">
        <x:fgColor rgb="FF1F2937"/>
      </x:patternFill>
    </x:fill>
    <x:fill>
      <x:patternFill patternType="solid">
        <x:fgColor rgb="FFF9FAFB"/>
      </x:patternFill>
    </x:fill>
    <x:fill>
      <x:patternFill patternType="solid">
        <x:fgColor rgb="FFFEF3C7"/>
      </x:patternFill>
    </x:fill>
    <x:fill>
      <x:patternFill patternType="solid">
        <x:fgColor rgb="FF0F172A"/>
      </x:patternFill>
    </x:fill>
    <x:fill>
      <x:patternFill patternType="solid">
        <x:fgColor rgb="FF1D4ED8"/>
      </x:patternFill>
    </x:fill>
    <x:fill>
      <x:patternFill patternType="solid">
        <x:fgColor rgb="FFEAF1FF"/>
      </x:patternFill>
    </x:fill>
    <x:fill>
      <x:patternFill patternType="solid">
        <x:fgColor rgb="FF0F766E"/>
      </x:patternFill>
    </x:fill>
    <x:fill>
      <x:patternFill patternType="solid">
        <x:fgColor rgb="FF111827"/>
      </x:patternFill>
    </x:fill>
    <x:fill>
      <x:patternFill patternType="solid">
        <x:fgColor rgb="FF7C3AED"/>
      </x:patternFill>
    </x:fill>
    <x:fill>
      <x:patternFill patternType="solid">
        <x:fgColor rgb="FFF8FAFC"/>
      </x:patternFill>
    </x:fill>
    <x:fill>
      <x:patternFill patternType="solid">
        <x:fgColor rgb="FF0F172A"/>
      </x:patternFill>
    </x:fill>
    <x:fill>
      <x:patternFill patternType="solid">
        <x:fgColor rgb="FF1E3A8A"/>
      </x:patternFill>
    </x:fill>
    <x:fill>
      <x:patternFill patternType="solid">
        <x:fgColor rgb="FF1F4E78"/>
      </x:patternFill>
    </x:fill>
    <x:fill>
      <x:patternFill patternType="solid">
        <x:fgColor rgb="FFE7E6E6"/>
      </x:patternFill>
    </x:fill>
    <x:fill>
      <x:patternFill patternType="solid">
        <x:fgColor rgb="FFC6EFCE"/>
      </x:patternFill>
    </x:fill>
    <x:fill>
      <x:patternFill patternType="solid">
        <x:fgColor rgb="FF0F172A"/>
      </x:patternFill>
    </x:fill>
    <x:fill>
      <x:patternFill patternType="solid">
        <x:fgColor rgb="FFE5E7EB"/>
      </x:patternFill>
    </x:fill>
    <x:fill>
      <x:patternFill patternType="solid">
        <x:fgColor rgb="FF1E40AF"/>
      </x:patternFill>
    </x:fill>
    <x:fill>
      <x:patternFill patternType="solid">
        <x:fgColor rgb="FF9CA3AF"/>
      </x:patternFill>
    </x:fill>
    <x:fill>
      <x:patternFill patternType="solid">
        <x:fgColor rgb="FFFACC15"/>
      </x:patternFill>
    </x:fill>
    <x:fill>
      <x:patternFill patternType="solid">
        <x:fgColor rgb="FF0F766E"/>
      </x:patternFill>
    </x:fill>
    <x:fill>
      <x:patternFill patternType="solid">
        <x:fgColor rgb="FF1F4E78"/>
      </x:patternFill>
    </x:fill>
    <x:fill>
      <x:patternFill patternType="solid">
        <x:fgColor rgb="FFE5E7EB"/>
      </x:patternFill>
    </x:fill>
    <x:fill>
      <x:patternFill patternType="solid">
        <x:fgColor rgb="FFDCFCE7"/>
      </x:patternFill>
    </x:fill>
    <x:fill>
      <x:patternFill patternType="solid">
        <x:fgColor rgb="FFDBEAFE"/>
      </x:patternFill>
    </x:fill>
    <x:fill>
      <x:patternFill patternType="solid">
        <x:fgColor rgb="FFFFFFFF"/>
      </x:patternFill>
    </x:fill>
    <x:fill>
      <x:patternFill patternType="solid">
        <x:fgColor rgb="FF4169E1"/>
      </x:patternFill>
    </x:fill>
    <x:fill>
      <x:patternFill patternType="solid">
        <x:fgColor rgb="FF9CA3AF"/>
      </x:patternFill>
    </x:fill>
    <x:fill>
      <x:patternFill patternType="solid">
        <x:fgColor rgb="FFFBBF24"/>
      </x:patternFill>
    </x:fill>
    <x:fill>
      <x:patternFill patternType="solid">
        <x:fgColor rgb="FFFEE2E2"/>
      </x:patternFill>
    </x:fill>
    <x:fill>
      <x:patternFill patternType="solid">
        <x:fgColor rgb="FF86EFAC"/>
      </x:patternFill>
    </x:fill>
    <x:fill>
      <x:patternFill patternType="solid">
        <x:fgColor rgb="FF0F172A"/>
      </x:patternFill>
    </x:fill>
  </x:fills>
  <x:borders count="26">
    <x:border/>
    <x:border/>
    <x:border/>
    <x:border>
      <x:left style="thin">
        <x:color rgb="FFB7C9D6"/>
      </x:left>
      <x:right style="thin">
        <x:color rgb="FFB7C9D6"/>
      </x:right>
      <x:top style="thin">
        <x:color rgb="FFB7C9D6"/>
      </x:top>
      <x:bottom style="thin">
        <x:color rgb="FFB7C9D6"/>
      </x:bottom>
    </x:border>
    <x:border/>
    <x:border/>
    <x:border/>
    <x:border/>
    <x:border/>
    <x:border/>
    <x:border/>
    <x:border/>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rder>
    <x:border>
      <x:right style="thin">
        <x:color rgb="FFB7C9D6"/>
      </x:right>
    </x:border>
    <x:border>
      <x:left style="thin">
        <x:color rgb="FFD1D5DB"/>
      </x:left>
      <x:right style="thin">
        <x:color rgb="FFD1D5DB"/>
      </x:right>
      <x:top style="thin">
        <x:color rgb="FFD1D5DB"/>
      </x:top>
      <x:bottom style="thin">
        <x:color rgb="FFD1D5DB"/>
      </x:bottom>
    </x:border>
    <x:border/>
    <x:border>
      <x:top style="thin">
        <x:color rgb="FFD1D5DB"/>
      </x:top>
    </x:border>
    <x:border>
      <x:right style="thin">
        <x:color rgb="FFD1D5DB"/>
      </x:right>
      <x:top style="thin">
        <x:color rgb="FFD1D5DB"/>
      </x:top>
    </x:border>
    <x:border>
      <x:top style="thin">
        <x:color rgb="FFD1D5DB"/>
      </x:top>
      <x:bottom style="thin">
        <x:color rgb="FFD1D5DB"/>
      </x:bottom>
    </x:border>
    <x:border>
      <x:right style="thin">
        <x:color rgb="FFD1D5DB"/>
      </x:right>
      <x:top style="thin">
        <x:color rgb="FFD1D5DB"/>
      </x:top>
      <x:bottom style="thin">
        <x:color rgb="FFD1D5DB"/>
      </x:bottom>
    </x:border>
  </x:borders>
  <x:cellStyleXfs count="2">
    <x:xf numFmtId="0" fontId="0" fillId="0" borderId="1"/>
    <x:xf numFmtId="0" fontId="20" fillId="0" borderId="21"/>
  </x:cellStyleXfs>
  <x:cellXfs count="382">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0" fillId="0" borderId="0" xfId="0" applyAlignment="1">
      <x:alignment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0" borderId="1" xfId="0"/>
    <x:xf numFmtId="0" fontId="1" fillId="2" borderId="1" xfId="0" applyAlignment="1">
      <x:alignment horizontal="center" vertical="center" wrapText="1"/>
    </x:xf>
    <x:xf numFmtId="0" fontId="0" fillId="0" borderId="1" xfId="0" applyAlignment="1">
      <x:alignment vertical="center"/>
    </x:xf>
    <x:xf numFmtId="0" fontId="3" fillId="3" borderId="1" xfId="0" applyAlignment="1">
      <x:alignment vertical="center"/>
    </x:xf>
    <x:xf numFmtId="0" fontId="3" fillId="4" borderId="1" xfId="0" applyAlignment="1">
      <x:alignment vertical="center"/>
    </x:xf>
    <x:xf numFmtId="164" fontId="3" fillId="4" borderId="1" xfId="0" applyAlignment="1">
      <x:alignment vertical="center"/>
    </x:xf>
    <x:xf numFmtId="165" fontId="3" fillId="4" borderId="1" xfId="0" applyAlignment="1">
      <x:alignment vertical="center"/>
    </x:xf>
    <x:xf numFmtId="164" fontId="0" fillId="0" borderId="1" xfId="0" applyAlignment="1">
      <x:alignment vertical="center"/>
    </x:xf>
    <x:xf numFmtId="165" fontId="0" fillId="0" borderId="1" xfId="0" applyAlignment="1">
      <x:alignment vertical="center"/>
    </x:xf>
    <x:xf numFmtId="2" fontId="0" fillId="0" borderId="1" xfId="0" applyAlignment="1">
      <x:alignment vertical="center"/>
    </x:xf>
    <x:xf numFmtId="166" fontId="0" fillId="0" borderId="1" xfId="0" applyAlignment="1">
      <x:alignment vertical="center"/>
    </x:xf>
    <x:xf numFmtId="0" fontId="2" fillId="2" borderId="1" xfId="0" applyAlignment="1">
      <x:alignment horizontal="center" vertical="center"/>
    </x:xf>
    <x:xf numFmtId="0" fontId="9" fillId="11" borderId="1" xfId="0" applyAlignment="1">
      <x:alignment vertical="center" wrapText="1"/>
    </x:xf>
    <x:xf numFmtId="0" fontId="2" fillId="5" borderId="1" xfId="0" applyAlignment="1">
      <x:alignment horizontal="center" vertical="center"/>
    </x:xf>
    <x:xf numFmtId="0" fontId="4" fillId="6" borderId="1" xfId="0" applyAlignment="1">
      <x:alignment horizontal="center" vertical="center"/>
    </x:xf>
    <x:xf numFmtId="0" fontId="5" fillId="7" borderId="1" xfId="0" applyAlignment="1">
      <x:alignment horizontal="left" vertical="center"/>
    </x:xf>
    <x:xf numFmtId="0" fontId="6" fillId="8" borderId="1" xfId="0" applyAlignment="1">
      <x:alignment vertical="top" wrapText="1"/>
    </x:xf>
    <x:xf numFmtId="0" fontId="7" fillId="9" borderId="1" xfId="0" applyAlignment="1">
      <x:alignment horizontal="left" vertical="center"/>
    </x:xf>
    <x:xf numFmtId="0" fontId="8" fillId="10" borderId="1"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2" borderId="1" xfId="0"/>
    <x:xf numFmtId="0" fontId="10" fillId="12" borderId="1" xfId="0"/>
    <x:xf numFmtId="0" fontId="10" fillId="12" borderId="1" xfId="0" applyAlignment="1">
      <x:alignment horizontal="center"/>
    </x:xf>
    <x:xf numFmtId="0" fontId="10" fillId="12" borderId="1"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3" borderId="1" xfId="0"/>
    <x:xf numFmtId="0" fontId="1" fillId="13" borderId="1" xfId="0"/>
    <x:xf numFmtId="0" fontId="1" fillId="13" borderId="1" xfId="0" applyAlignment="1">
      <x:alignment horizontal="center"/>
    </x:xf>
    <x:xf numFmtId="0" fontId="0" fillId="14" borderId="0" xfId="0"/>
    <x:xf numFmtId="0" fontId="3" fillId="14" borderId="0" xfId="0"/>
    <x:xf numFmtId="0" fontId="0" fillId="14" borderId="1" xfId="0"/>
    <x:xf numFmtId="0" fontId="3" fillId="14" borderId="1" xfId="0"/>
    <x:xf numFmtId="0" fontId="3" fillId="0" borderId="0" xfId="0"/>
    <x:xf numFmtId="0" fontId="3" fillId="0" borderId="0" xfId="0" applyAlignment="1">
      <x:alignment horizontal="center"/>
    </x:xf>
    <x:xf numFmtId="0" fontId="3" fillId="0" borderId="1" xfId="0"/>
    <x:xf numFmtId="0" fontId="3" fillId="0" borderId="1" xfId="0" applyAlignment="1">
      <x:alignment horizontal="center"/>
    </x:xf>
    <x:xf numFmtId="167" fontId="3" fillId="0" borderId="0" xfId="0" applyAlignment="1">
      <x:alignment horizontal="center"/>
    </x:xf>
    <x:xf numFmtId="167" fontId="3" fillId="0" borderId="1" xfId="0" applyAlignment="1">
      <x:alignment horizontal="center"/>
    </x:xf>
    <x:xf numFmtId="0" fontId="0" fillId="15" borderId="0" xfId="0"/>
    <x:xf numFmtId="0" fontId="1" fillId="15" borderId="0" xfId="0"/>
    <x:xf numFmtId="0" fontId="1" fillId="15" borderId="0" xfId="0" applyAlignment="1">
      <x:alignment horizontal="center"/>
    </x:xf>
    <x:xf numFmtId="0" fontId="1" fillId="15" borderId="0" xfId="0" applyAlignment="1">
      <x:alignment horizontal="center" vertical="center"/>
    </x:xf>
    <x:xf numFmtId="0" fontId="0" fillId="15" borderId="1" xfId="0"/>
    <x:xf numFmtId="0" fontId="1" fillId="15" borderId="1" xfId="0"/>
    <x:xf numFmtId="0" fontId="1" fillId="15" borderId="1" xfId="0" applyAlignment="1">
      <x:alignment horizontal="center"/>
    </x:xf>
    <x:xf numFmtId="0" fontId="1" fillId="15" borderId="1" xfId="0" applyAlignment="1">
      <x:alignment horizontal="center" vertical="center"/>
    </x:xf>
    <x:xf numFmtId="0" fontId="0" fillId="0" borderId="0" xfId="0" applyAlignment="1">
      <x:alignment wrapText="1"/>
    </x:xf>
    <x:xf numFmtId="0" fontId="0" fillId="0" borderId="0" xfId="0" applyAlignment="1">
      <x:alignment vertical="top" wrapText="1"/>
    </x:xf>
    <x:xf numFmtId="0" fontId="0" fillId="0" borderId="1" xfId="0" applyAlignment="1">
      <x:alignment wrapText="1"/>
    </x:xf>
    <x:xf numFmtId="0" fontId="0" fillId="0" borderId="1" xfId="0" applyAlignment="1">
      <x:alignment vertical="top" wrapText="1"/>
    </x:xf>
    <x:xf numFmtId="168" fontId="0" fillId="0" borderId="0" xfId="0" applyAlignment="1">
      <x:alignment vertical="top" wrapText="1"/>
    </x:xf>
    <x:xf numFmtId="168" fontId="0" fillId="0" borderId="1" xfId="0" applyAlignment="1">
      <x:alignment vertical="top" wrapText="1"/>
    </x:xf>
    <x:xf numFmtId="167" fontId="0" fillId="0" borderId="0" xfId="0" applyAlignment="1">
      <x:alignment vertical="top" wrapText="1"/>
    </x:xf>
    <x:xf numFmtId="167" fontId="0" fillId="0" borderId="1" xfId="0" applyAlignment="1">
      <x:alignment vertical="top" wrapText="1"/>
    </x:xf>
    <x:xf numFmtId="165" fontId="0" fillId="0" borderId="0" xfId="0" applyAlignment="1">
      <x:alignment vertical="top" wrapText="1"/>
    </x:xf>
    <x:xf numFmtId="165" fontId="0" fillId="0" borderId="1" xfId="0" applyAlignment="1">
      <x:alignment vertical="top" wrapText="1"/>
    </x:xf>
    <x:xf numFmtId="0" fontId="0" fillId="16" borderId="0" xfId="0"/>
    <x:xf numFmtId="0" fontId="10" fillId="16" borderId="0" xfId="0"/>
    <x:xf numFmtId="0" fontId="10" fillId="16" borderId="0" xfId="0" applyAlignment="1">
      <x:alignment horizontal="center"/>
    </x:xf>
    <x:xf numFmtId="0" fontId="0" fillId="16" borderId="1" xfId="0"/>
    <x:xf numFmtId="0" fontId="10" fillId="16" borderId="1" xfId="0"/>
    <x:xf numFmtId="0" fontId="10" fillId="16" borderId="1" xfId="0" applyAlignment="1">
      <x:alignment horizontal="center"/>
    </x:xf>
    <x:xf numFmtId="0" fontId="0" fillId="17" borderId="0" xfId="0"/>
    <x:xf numFmtId="0" fontId="1" fillId="17" borderId="0" xfId="0"/>
    <x:xf numFmtId="0" fontId="1" fillId="17" borderId="0" xfId="0" applyAlignment="1">
      <x:alignment horizontal="center"/>
    </x:xf>
    <x:xf numFmtId="0" fontId="0" fillId="17" borderId="1" xfId="0"/>
    <x:xf numFmtId="0" fontId="1" fillId="17" borderId="1" xfId="0"/>
    <x:xf numFmtId="0" fontId="1" fillId="17" borderId="1" xfId="0" applyAlignment="1">
      <x:alignment horizontal="center"/>
    </x:xf>
    <x:xf numFmtId="0" fontId="2" fillId="12" borderId="0" xfId="0" applyAlignment="1">
      <x:alignment horizontal="center" vertical="center"/>
    </x:xf>
    <x:xf numFmtId="0" fontId="2" fillId="12" borderId="1"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14" borderId="1" xfId="0" applyAlignment="1">
      <x:alignment vertical="center"/>
    </x:xf>
    <x:xf numFmtId="0" fontId="3" fillId="14" borderId="1" xfId="0" applyAlignment="1">
      <x:alignment vertical="center"/>
    </x:xf>
    <x:xf numFmtId="0" fontId="3" fillId="18" borderId="0" xfId="0" applyAlignment="1">
      <x:alignment vertical="center"/>
    </x:xf>
    <x:xf numFmtId="0" fontId="0" fillId="18" borderId="0" xfId="0" applyAlignment="1">
      <x:alignment vertical="center"/>
    </x:xf>
    <x:xf numFmtId="0" fontId="3" fillId="18" borderId="1" xfId="0" applyAlignment="1">
      <x:alignment vertical="center"/>
    </x:xf>
    <x:xf numFmtId="0" fontId="0" fillId="18" borderId="1" xfId="0" applyAlignment="1">
      <x:alignment vertical="center"/>
    </x:xf>
    <x:xf numFmtId="167" fontId="3" fillId="18" borderId="0" xfId="0" applyAlignment="1">
      <x:alignment vertical="center"/>
    </x:xf>
    <x:xf numFmtId="167" fontId="3" fillId="18" borderId="1"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3" fillId="3" borderId="1" xfId="0" applyAlignment="1">
      <x:alignment vertical="center" wrapText="1"/>
    </x:xf>
    <x:xf numFmtId="165" fontId="3" fillId="4" borderId="1" xfId="0" applyAlignment="1">
      <x:alignment vertical="center" wrapText="1"/>
    </x:xf>
    <x:xf numFmtId="0" fontId="0" fillId="0" borderId="1" xfId="0" applyAlignment="1">
      <x:alignment vertical="center" wrapText="1"/>
    </x:xf>
    <x:xf numFmtId="0" fontId="3" fillId="4" borderId="1" xfId="0" applyAlignment="1">
      <x:alignment vertical="center" wrapText="1"/>
    </x:xf>
    <x:xf numFmtId="0" fontId="3" fillId="3" borderId="1" xfId="0" applyAlignment="1">
      <x:alignment vertical="top" wrapText="1"/>
    </x:xf>
    <x:xf numFmtId="165" fontId="3" fillId="4" borderId="1" xfId="0" applyAlignment="1">
      <x:alignment vertical="top" wrapText="1"/>
    </x:xf>
    <x:xf numFmtId="0" fontId="3" fillId="4" borderId="1" xfId="0" applyAlignment="1">
      <x:alignment vertical="top" wrapText="1"/>
    </x:xf>
    <x:xf numFmtId="0" fontId="1" fillId="15" borderId="0" xfId="0" applyAlignment="1">
      <x:alignment horizontal="center" vertical="center" wrapText="1"/>
    </x:xf>
    <x:xf numFmtId="0" fontId="1" fillId="15" borderId="1"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2" fontId="0" fillId="0" borderId="1" xfId="0" applyAlignment="1">
      <x:alignment vertical="center" wrapText="1"/>
    </x:xf>
    <x:xf numFmtId="165" fontId="0" fillId="0" borderId="1" xfId="0" applyAlignment="1">
      <x:alignment vertical="center" wrapText="1"/>
    </x:xf>
    <x:xf numFmtId="166" fontId="0" fillId="0" borderId="1" xfId="0" applyAlignment="1">
      <x:alignment vertical="center" wrapText="1"/>
    </x:xf>
    <x:xf numFmtId="2" fontId="0" fillId="0" borderId="1" xfId="0" applyAlignment="1">
      <x:alignment vertical="top" wrapText="1"/>
    </x:xf>
    <x:xf numFmtId="166" fontId="0" fillId="0" borderId="1"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5" borderId="0" xfId="0"/>
    <x:xf numFmtId="0" fontId="10" fillId="5" borderId="0" xfId="0"/>
    <x:xf numFmtId="0" fontId="10" fillId="5" borderId="0" xfId="0" applyAlignment="1">
      <x:alignment horizontal="center"/>
    </x:xf>
    <x:xf numFmtId="0" fontId="0" fillId="4" borderId="0" xfId="0" applyAlignment="1">
      <x:alignment vertical="center"/>
    </x:xf>
    <x:xf numFmtId="167" fontId="3" fillId="4" borderId="0" xfId="0" applyAlignment="1">
      <x:alignment vertical="center"/>
    </x:xf>
    <x:xf numFmtId="0" fontId="1" fillId="7" borderId="0" xfId="0" applyAlignment="1">
      <x:alignment horizontal="center" vertical="center" wrapText="1"/>
    </x:xf>
    <x:xf numFmtId="0" fontId="0" fillId="19" borderId="0" xfId="0" applyAlignment="1">
      <x:alignment vertical="center"/>
    </x:xf>
    <x:xf numFmtId="0" fontId="1" fillId="19"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9" borderId="1"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167" fontId="3" fillId="18" borderId="0" xfId="0" applyAlignment="1">
      <x:alignment vertical="center"/>
    </x:xf>
    <x:xf numFmtId="164" fontId="3" fillId="4" borderId="0" xfId="0" applyAlignment="1">
      <x:alignment vertical="center"/>
    </x:xf>
    <x:xf numFmtId="165" fontId="3" fillId="4" borderId="0" xfId="0" applyAlignment="1">
      <x:alignment vertical="top" wrapText="1"/>
    </x:xf>
    <x:xf numFmtId="164" fontId="0" fillId="0" borderId="0" xfId="0" applyAlignment="1">
      <x:alignment vertical="center" wrapText="1"/>
    </x:xf>
    <x:xf numFmtId="165" fontId="0" fillId="0" borderId="0" xfId="0" applyAlignment="1">
      <x:alignment vertical="center" wrapText="1"/>
    </x:xf>
    <x:xf numFmtId="164" fontId="0" fillId="0" borderId="0" xfId="0" applyAlignment="1">
      <x:alignment vertical="center"/>
    </x:xf>
    <x:xf numFmtId="165" fontId="0" fillId="0" borderId="0"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166" fontId="0" fillId="0" borderId="0" xfId="0" applyAlignment="1">
      <x:alignment vertical="center"/>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0" fillId="0" borderId="0" xfId="0"/>
    <x:xf numFmtId="0" fontId="1" fillId="2" borderId="0" xfId="0" applyAlignment="1">
      <x:alignment horizontal="center" vertical="center" wrapText="1"/>
    </x:xf>
    <x:xf numFmtId="0" fontId="0" fillId="0" borderId="0" xfId="0" applyAlignment="1">
      <x:alignment vertical="center"/>
    </x:xf>
    <x:xf numFmtId="0" fontId="3" fillId="3" borderId="0" xfId="0" applyAlignment="1">
      <x:alignment vertical="center"/>
    </x:xf>
    <x:xf numFmtId="0" fontId="3" fillId="4" borderId="0" xfId="0" applyAlignment="1">
      <x:alignment vertical="center"/>
    </x:xf>
    <x:xf numFmtId="164" fontId="3" fillId="4" borderId="0" xfId="0" applyAlignment="1">
      <x:alignment vertical="center"/>
    </x:xf>
    <x:xf numFmtId="165" fontId="3" fillId="4" borderId="0" xfId="0" applyAlignment="1">
      <x:alignment vertical="center"/>
    </x:xf>
    <x:xf numFmtId="164" fontId="0" fillId="0" borderId="0" xfId="0" applyAlignment="1">
      <x:alignment vertical="center"/>
    </x:xf>
    <x:xf numFmtId="165" fontId="0" fillId="0" borderId="0" xfId="0" applyAlignment="1">
      <x:alignment vertical="center"/>
    </x:xf>
    <x:xf numFmtId="2" fontId="0" fillId="0" borderId="0" xfId="0" applyAlignment="1">
      <x:alignment vertical="center"/>
    </x:xf>
    <x:xf numFmtId="166" fontId="0" fillId="0" borderId="0" xfId="0" applyAlignment="1">
      <x:alignment vertical="center"/>
    </x:xf>
    <x:xf numFmtId="0" fontId="2" fillId="2" borderId="0" xfId="0" applyAlignment="1">
      <x:alignment horizontal="center" vertical="center"/>
    </x:xf>
    <x:xf numFmtId="0" fontId="9" fillId="11" borderId="0" xfId="0" applyAlignment="1">
      <x:alignment vertical="center" wrapText="1"/>
    </x:xf>
    <x:xf numFmtId="0" fontId="2" fillId="5" borderId="0" xfId="0" applyAlignment="1">
      <x:alignment horizontal="center" vertical="center"/>
    </x:xf>
    <x:xf numFmtId="0" fontId="4" fillId="6" borderId="0" xfId="0" applyAlignment="1">
      <x:alignment horizontal="center" vertical="center"/>
    </x:xf>
    <x:xf numFmtId="0" fontId="5" fillId="7" borderId="0" xfId="0" applyAlignment="1">
      <x:alignment horizontal="left" vertical="center"/>
    </x:xf>
    <x:xf numFmtId="0" fontId="6" fillId="8" borderId="0" xfId="0" applyAlignment="1">
      <x:alignment vertical="top" wrapText="1"/>
    </x:xf>
    <x:xf numFmtId="0" fontId="7" fillId="9" borderId="0" xfId="0" applyAlignment="1">
      <x:alignment horizontal="left" vertical="center"/>
    </x:xf>
    <x:xf numFmtId="0" fontId="8" fillId="10" borderId="0" xfId="0" applyAlignment="1">
      <x:alignment vertical="top" wrapText="1"/>
    </x:xf>
    <x:xf numFmtId="0" fontId="0" fillId="12" borderId="0" xfId="0"/>
    <x:xf numFmtId="0" fontId="10" fillId="12" borderId="0" xfId="0"/>
    <x:xf numFmtId="0" fontId="10" fillId="12" borderId="0" xfId="0" applyAlignment="1">
      <x:alignment horizontal="center"/>
    </x:xf>
    <x:xf numFmtId="0" fontId="10" fillId="12" borderId="0" xfId="0" applyAlignment="1">
      <x:alignment horizontal="center" vertical="center"/>
    </x:xf>
    <x:xf numFmtId="0" fontId="0" fillId="13" borderId="0" xfId="0"/>
    <x:xf numFmtId="0" fontId="1" fillId="13" borderId="0" xfId="0"/>
    <x:xf numFmtId="0" fontId="1" fillId="13" borderId="0" xfId="0" applyAlignment="1">
      <x:alignment horizontal="center"/>
    </x:xf>
    <x:xf numFmtId="0" fontId="0" fillId="14" borderId="0" xfId="0"/>
    <x:xf numFmtId="0" fontId="3" fillId="14" borderId="0" xfId="0"/>
    <x:xf numFmtId="0" fontId="3" fillId="0" borderId="0" xfId="0"/>
    <x:xf numFmtId="0" fontId="3" fillId="0" borderId="0" xfId="0" applyAlignment="1">
      <x:alignment horizontal="center"/>
    </x:xf>
    <x:xf numFmtId="167" fontId="3" fillId="0" borderId="0" xfId="0" applyAlignment="1">
      <x:alignment horizontal="center"/>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0" borderId="0" xfId="0" applyAlignment="1">
      <x:alignment wrapText="1"/>
    </x:xf>
    <x:xf numFmtId="0" fontId="0" fillId="0" borderId="0" xfId="0" applyAlignment="1">
      <x:alignment vertical="top" wrapText="1"/>
    </x:xf>
    <x:xf numFmtId="168" fontId="0" fillId="0" borderId="0" xfId="0" applyAlignment="1">
      <x:alignment vertical="top" wrapText="1"/>
    </x:xf>
    <x:xf numFmtId="167" fontId="0" fillId="0" borderId="0" xfId="0" applyAlignment="1">
      <x:alignment vertical="top" wrapText="1"/>
    </x:xf>
    <x:xf numFmtId="165" fontId="0" fillId="0" borderId="0" xfId="0" applyAlignment="1">
      <x:alignment vertical="top" wrapText="1"/>
    </x:xf>
    <x:xf numFmtId="0" fontId="0" fillId="5" borderId="0" xfId="0"/>
    <x:xf numFmtId="0" fontId="10" fillId="5" borderId="0" xfId="0"/>
    <x:xf numFmtId="0" fontId="10" fillId="5" borderId="0" xfId="0" applyAlignment="1">
      <x:alignment horizontal="center"/>
    </x:xf>
    <x:xf numFmtId="0" fontId="0" fillId="17" borderId="0" xfId="0"/>
    <x:xf numFmtId="0" fontId="1" fillId="17" borderId="0" xfId="0"/>
    <x:xf numFmtId="0" fontId="1" fillId="17" borderId="0" xfId="0" applyAlignment="1">
      <x:alignment horizontal="center"/>
    </x:xf>
    <x:xf numFmtId="0" fontId="2" fillId="12" borderId="0" xfId="0" applyAlignment="1">
      <x:alignment horizontal="center" vertical="center"/>
    </x:xf>
    <x:xf numFmtId="0" fontId="0" fillId="14" borderId="0" xfId="0" applyAlignment="1">
      <x:alignment vertical="center"/>
    </x:xf>
    <x:xf numFmtId="0" fontId="3" fillId="14" borderId="0" xfId="0" applyAlignment="1">
      <x:alignment vertical="center"/>
    </x:xf>
    <x:xf numFmtId="0" fontId="0" fillId="4" borderId="0" xfId="0" applyAlignment="1">
      <x:alignment vertical="center"/>
    </x:xf>
    <x:xf numFmtId="167" fontId="3" fillId="4" borderId="0" xfId="0" applyAlignment="1">
      <x:alignment vertical="center"/>
    </x:xf>
    <x:xf numFmtId="0" fontId="3" fillId="3" borderId="0" xfId="0" applyAlignment="1">
      <x:alignment vertical="center" wrapText="1"/>
    </x:xf>
    <x:xf numFmtId="165" fontId="3" fillId="4" borderId="0" xfId="0" applyAlignment="1">
      <x:alignment vertical="center" wrapText="1"/>
    </x:xf>
    <x:xf numFmtId="0" fontId="0" fillId="0" borderId="0" xfId="0" applyAlignment="1">
      <x:alignment vertical="center" wrapText="1"/>
    </x:xf>
    <x:xf numFmtId="0" fontId="3" fillId="4" borderId="0" xfId="0" applyAlignment="1">
      <x:alignment vertical="center" wrapText="1"/>
    </x:xf>
    <x:xf numFmtId="0" fontId="3" fillId="3" borderId="0" xfId="0" applyAlignment="1">
      <x:alignment vertical="top" wrapText="1"/>
    </x:xf>
    <x:xf numFmtId="165" fontId="3" fillId="4" borderId="0" xfId="0" applyAlignment="1">
      <x:alignment vertical="top" wrapText="1"/>
    </x:xf>
    <x:xf numFmtId="0" fontId="3" fillId="4" borderId="0" xfId="0" applyAlignment="1">
      <x:alignment vertical="top" wrapText="1"/>
    </x:xf>
    <x:xf numFmtId="0" fontId="1" fillId="7" borderId="0" xfId="0" applyAlignment="1">
      <x:alignment horizontal="center" vertical="center" wrapText="1"/>
    </x:xf>
    <x:xf numFmtId="2" fontId="0" fillId="0" borderId="0" xfId="0" applyAlignment="1">
      <x:alignment vertical="center" wrapText="1"/>
    </x:xf>
    <x:xf numFmtId="165" fontId="0" fillId="0" borderId="0" xfId="0" applyAlignment="1">
      <x:alignment vertical="center" wrapText="1"/>
    </x:xf>
    <x:xf numFmtId="166" fontId="0" fillId="0" borderId="0" xfId="0" applyAlignment="1">
      <x:alignment vertical="center" wrapText="1"/>
    </x:xf>
    <x:xf numFmtId="2" fontId="0" fillId="0" borderId="0" xfId="0" applyAlignment="1">
      <x:alignment vertical="top" wrapText="1"/>
    </x:xf>
    <x:xf numFmtId="166" fontId="0" fillId="0" borderId="0" xfId="0" applyAlignment="1">
      <x:alignment vertical="top" wrapText="1"/>
    </x:xf>
    <x:xf numFmtId="0" fontId="0" fillId="12" borderId="0" xfId="0" applyAlignment="1">
      <x:alignment vertical="center"/>
    </x:xf>
    <x:xf numFmtId="0" fontId="1" fillId="12" borderId="0" xfId="0" applyAlignment="1">
      <x:alignment vertical="center"/>
    </x:xf>
    <x:xf numFmtId="0" fontId="0" fillId="20" borderId="0" xfId="0" applyAlignment="1">
      <x:alignment vertical="center"/>
    </x:xf>
    <x:xf numFmtId="0" fontId="1" fillId="20" borderId="0" xfId="0" applyAlignment="1">
      <x:alignment vertical="center"/>
    </x:xf>
    <x:xf numFmtId="0" fontId="1" fillId="20" borderId="0" xfId="0" applyAlignment="1">
      <x:alignment vertical="center" wrapText="1"/>
    </x:xf>
    <x:xf numFmtId="0" fontId="1" fillId="20" borderId="0" xfId="0" applyAlignment="1">
      <x:alignment horizontal="center" vertical="center" wrapText="1"/>
    </x:xf>
    <x:xf numFmtId="0" fontId="0" fillId="0" borderId="2" xfId="0" applyAlignment="1">
      <x:alignment vertical="center"/>
    </x:xf>
    <x:xf numFmtId="0" fontId="0" fillId="0" borderId="2" xfId="0" applyAlignment="1">
      <x:alignment vertical="center" wrapText="1"/>
    </x:xf>
    <x:xf numFmtId="0" fontId="0" fillId="20" borderId="0" xfId="0"/>
    <x:xf numFmtId="0" fontId="1" fillId="20" borderId="0" xfId="0"/>
    <x:xf numFmtId="0" fontId="1" fillId="20" borderId="0" xfId="0" applyAlignment="1">
      <x:alignment wrapText="1"/>
    </x:xf>
    <x:xf numFmtId="0" fontId="1" fillId="20" borderId="0" xfId="0" applyAlignment="1">
      <x:alignment horizontal="center" wrapText="1"/>
    </x:xf>
    <x:xf numFmtId="0" fontId="0" fillId="0" borderId="2" xfId="0"/>
    <x:xf numFmtId="0" fontId="0" fillId="0" borderId="2" xfId="0" applyAlignment="1">
      <x:alignment wrapText="1"/>
    </x:xf>
    <x:xf numFmtId="164" fontId="0" fillId="0" borderId="0" xfId="0" applyAlignment="1">
      <x:alignment vertical="center" wrapText="1"/>
    </x:xf>
    <x:xf numFmtId="0" fontId="13" fillId="12" borderId="0" xfId="0" applyAlignment="1">
      <x:alignment horizontal="center" vertical="center" wrapText="1"/>
    </x:xf>
    <x:xf numFmtId="0" fontId="11" fillId="21" borderId="3" xfId="0" applyAlignment="1">
      <x:alignment horizontal="center" vertical="center" wrapText="1"/>
    </x:xf>
    <x:xf numFmtId="0" fontId="0" fillId="22" borderId="3" xfId="0" applyAlignment="1">
      <x:alignment vertical="center"/>
    </x:xf>
    <x:xf numFmtId="0" fontId="0" fillId="23" borderId="3" xfId="0" applyAlignment="1">
      <x:alignment vertical="center"/>
    </x:xf>
    <x:xf numFmtId="0" fontId="0" fillId="0" borderId="3" xfId="0" applyAlignment="1">
      <x:alignment vertical="top" wrapText="1"/>
    </x:xf>
    <x:xf numFmtId="2" fontId="0" fillId="0" borderId="3" xfId="0" applyAlignment="1">
      <x:alignment vertical="top" wrapText="1"/>
    </x:xf>
    <x:xf numFmtId="165" fontId="0" fillId="0" borderId="3" xfId="0" applyAlignment="1">
      <x:alignment vertical="top" wrapText="1"/>
    </x:xf>
    <x:xf numFmtId="167" fontId="0" fillId="0" borderId="3" xfId="0" applyAlignment="1">
      <x:alignment vertical="top" wrapText="1"/>
    </x:xf>
    <x:xf numFmtId="168" fontId="0" fillId="0" borderId="3" xfId="0" applyAlignment="1">
      <x:alignment vertical="top" wrapText="1"/>
    </x:xf>
    <x:xf numFmtId="0" fontId="11" fillId="21" borderId="3" xfId="0" applyAlignment="1">
      <x:alignment horizontal="center"/>
    </x:xf>
    <x:xf numFmtId="0" fontId="0" fillId="0" borderId="3" xfId="0" applyAlignment="1">
      <x:alignment wrapText="1"/>
    </x:xf>
    <x:xf numFmtId="164" fontId="0" fillId="0" borderId="3" xfId="0" applyAlignment="1">
      <x:alignment wrapText="1"/>
    </x:xf>
    <x:xf numFmtId="169" fontId="0" fillId="0" borderId="3" xfId="0" applyAlignment="1">
      <x:alignment wrapText="1"/>
    </x:xf>
    <x:xf numFmtId="0" fontId="11" fillId="21" borderId="3" xfId="0" applyAlignment="1">
      <x:alignment horizontal="center" wrapText="1"/>
    </x:xf>
    <x:xf numFmtId="170" fontId="0" fillId="0" borderId="3" xfId="0" applyAlignment="1">
      <x:alignment vertical="top" wrapText="1"/>
    </x:xf>
    <x:xf numFmtId="0" fontId="11" fillId="24" borderId="3" xfId="0" applyAlignment="1">
      <x:alignment horizontal="center" vertical="center" wrapText="1"/>
    </x:xf>
    <x:xf numFmtId="0" fontId="11" fillId="24" borderId="3" xfId="0" applyAlignment="1">
      <x:alignment horizontal="center" wrapText="1"/>
    </x:xf>
    <x:xf numFmtId="0" fontId="0" fillId="25" borderId="3" xfId="0" applyAlignment="1">
      <x:alignment vertical="top" wrapText="1"/>
    </x:xf>
    <x:xf numFmtId="0" fontId="14" fillId="25" borderId="3" xfId="0" applyAlignment="1">
      <x:alignment vertical="top" wrapText="1"/>
    </x:xf>
    <x:xf numFmtId="0" fontId="0" fillId="26" borderId="3" xfId="0" applyAlignment="1">
      <x:alignment vertical="top" wrapText="1"/>
    </x:xf>
    <x:xf numFmtId="0" fontId="1" fillId="26" borderId="3" xfId="0" applyAlignment="1">
      <x:alignment vertical="top" wrapText="1"/>
    </x:xf>
    <x:xf numFmtId="0" fontId="0" fillId="27" borderId="3" xfId="0" applyAlignment="1">
      <x:alignment vertical="top" wrapText="1"/>
    </x:xf>
    <x:xf numFmtId="0" fontId="15" fillId="27" borderId="3" xfId="0" applyAlignment="1">
      <x:alignment vertical="top" wrapText="1"/>
    </x:xf>
    <x:xf numFmtId="0" fontId="0" fillId="28" borderId="3" xfId="0" applyAlignment="1">
      <x:alignment vertical="top" wrapText="1"/>
    </x:xf>
    <x:xf numFmtId="0" fontId="15" fillId="28" borderId="3" xfId="0" applyAlignment="1">
      <x:alignment vertical="top" wrapText="1"/>
    </x:xf>
    <x:xf numFmtId="0" fontId="11" fillId="12" borderId="3" xfId="0" applyAlignment="1">
      <x:alignment horizontal="center" vertical="center" wrapText="1"/>
    </x:xf>
    <x:xf numFmtId="0" fontId="11" fillId="12" borderId="3" xfId="0" applyAlignment="1">
      <x:alignment horizontal="center" wrapText="1"/>
    </x:xf>
    <x:xf numFmtId="0" fontId="0" fillId="6" borderId="3" xfId="0" applyAlignment="1">
      <x:alignment vertical="top" wrapText="1"/>
    </x:xf>
    <x:xf numFmtId="0" fontId="14" fillId="6" borderId="3" xfId="0" applyAlignment="1">
      <x:alignment vertical="top" wrapText="1"/>
    </x:xf>
    <x:xf numFmtId="171" fontId="0" fillId="0" borderId="3" xfId="0" applyAlignment="1">
      <x:alignment vertical="top" wrapText="1"/>
    </x:xf>
    <x:xf numFmtId="171" fontId="0" fillId="0" borderId="0" xfId="0" applyAlignment="1">
      <x:alignment vertical="center"/>
    </x:xf>
    <x:xf numFmtId="171" fontId="0" fillId="0" borderId="0" xfId="0"/>
    <x:xf numFmtId="0" fontId="1" fillId="2" borderId="4" xfId="0" applyAlignment="1">
      <x:alignment horizontal="center" vertical="center" wrapText="1"/>
    </x:xf>
    <x:xf numFmtId="0" fontId="1" fillId="2" borderId="5" xfId="0" applyAlignment="1">
      <x:alignment horizontal="center" vertical="center" wrapText="1"/>
    </x:xf>
    <x:xf numFmtId="0" fontId="0" fillId="0" borderId="5" xfId="0" applyAlignment="1">
      <x:alignment vertical="center" wrapText="1"/>
    </x:xf>
    <x:xf numFmtId="0" fontId="0" fillId="0" borderId="6" xfId="0" applyAlignment="1">
      <x:alignment vertical="center" wrapText="1"/>
    </x:xf>
    <x:xf numFmtId="0" fontId="0" fillId="0" borderId="7" xfId="0" applyAlignment="1">
      <x:alignment vertical="center" wrapText="1"/>
    </x:xf>
    <x:xf numFmtId="0" fontId="0" fillId="0" borderId="8" xfId="0" applyAlignment="1">
      <x:alignment vertical="center" wrapText="1"/>
    </x:xf>
    <x:xf numFmtId="0" fontId="0" fillId="0" borderId="9" xfId="0" applyAlignment="1">
      <x:alignment vertical="center" wrapText="1"/>
    </x:xf>
    <x:xf numFmtId="0" fontId="0" fillId="0" borderId="10" xfId="0" applyAlignment="1">
      <x:alignment vertical="center" wrapText="1"/>
    </x:xf>
    <x:xf numFmtId="0" fontId="0" fillId="0" borderId="11" xfId="0" applyAlignment="1">
      <x:alignment vertical="center" wrapText="1"/>
    </x:xf>
    <x:xf numFmtId="0" fontId="0" fillId="0" borderId="12" xfId="0" applyAlignment="1">
      <x:alignment vertical="center" wrapText="1"/>
    </x:xf>
    <x:xf numFmtId="171" fontId="0" fillId="0" borderId="0" xfId="0" applyAlignment="1">
      <x:alignment vertical="center" wrapText="1"/>
    </x:xf>
    <x:xf numFmtId="0" fontId="11" fillId="12" borderId="13" xfId="0" applyAlignment="1">
      <x:alignment horizontal="center" vertical="center" wrapText="1"/>
    </x:xf>
    <x:xf numFmtId="0" fontId="11" fillId="12" borderId="14" xfId="0" applyAlignment="1">
      <x:alignment horizontal="center" vertical="center" wrapText="1"/>
    </x:xf>
    <x:xf numFmtId="0" fontId="11" fillId="12" borderId="15" xfId="0" applyAlignment="1">
      <x:alignment horizontal="center" vertical="center" wrapText="1"/>
    </x:xf>
    <x:xf numFmtId="0" fontId="0" fillId="0" borderId="16" xfId="0" applyAlignment="1">
      <x:alignment vertical="top" wrapText="1"/>
    </x:xf>
    <x:xf numFmtId="0" fontId="0" fillId="0" borderId="8" xfId="0" applyAlignment="1">
      <x:alignment vertical="top" wrapText="1"/>
    </x:xf>
    <x:xf numFmtId="2" fontId="0" fillId="0" borderId="8" xfId="0" applyAlignment="1">
      <x:alignment vertical="top" wrapText="1"/>
    </x:xf>
    <x:xf numFmtId="165" fontId="0" fillId="0" borderId="8" xfId="0" applyAlignment="1">
      <x:alignment vertical="top" wrapText="1"/>
    </x:xf>
    <x:xf numFmtId="167" fontId="0" fillId="0" borderId="8" xfId="0" applyAlignment="1">
      <x:alignment vertical="top" wrapText="1"/>
    </x:xf>
    <x:xf numFmtId="171" fontId="0" fillId="0" borderId="8" xfId="0" applyAlignment="1">
      <x:alignment vertical="top" wrapText="1"/>
    </x:xf>
    <x:xf numFmtId="0" fontId="14" fillId="6" borderId="8" xfId="0" applyAlignment="1">
      <x:alignment vertical="top" wrapText="1"/>
    </x:xf>
    <x:xf numFmtId="0" fontId="0" fillId="0" borderId="17" xfId="0" applyAlignment="1">
      <x:alignment vertical="top" wrapText="1"/>
    </x:xf>
    <x:xf numFmtId="0" fontId="1" fillId="26" borderId="8" xfId="0" applyAlignment="1">
      <x:alignment vertical="top" wrapText="1"/>
    </x:xf>
    <x:xf numFmtId="0" fontId="15" fillId="27" borderId="8" xfId="0" applyAlignment="1">
      <x:alignment vertical="top" wrapText="1"/>
    </x:xf>
    <x:xf numFmtId="0" fontId="15" fillId="28" borderId="8" xfId="0" applyAlignment="1">
      <x:alignment vertical="top" wrapText="1"/>
    </x:xf>
    <x:xf numFmtId="0" fontId="0" fillId="0" borderId="16" xfId="0" applyAlignment="1">
      <x:alignment vertical="center" wrapText="1"/>
    </x:xf>
    <x:xf numFmtId="2" fontId="0" fillId="0" borderId="8" xfId="0" applyAlignment="1">
      <x:alignment vertical="center" wrapText="1"/>
    </x:xf>
    <x:xf numFmtId="165" fontId="0" fillId="0" borderId="8" xfId="0" applyAlignment="1">
      <x:alignment vertical="center" wrapText="1"/>
    </x:xf>
    <x:xf numFmtId="171" fontId="0" fillId="0" borderId="8" xfId="0" applyAlignment="1">
      <x:alignment vertical="center" wrapText="1"/>
    </x:xf>
    <x:xf numFmtId="0" fontId="0" fillId="0" borderId="17" xfId="0" applyAlignment="1">
      <x:alignment vertical="center" wrapText="1"/>
    </x:xf>
    <x:xf numFmtId="0" fontId="0" fillId="0" borderId="18" xfId="0" applyAlignment="1">
      <x:alignment vertical="center" wrapText="1"/>
    </x:xf>
    <x:xf numFmtId="2" fontId="0" fillId="0" borderId="11" xfId="0" applyAlignment="1">
      <x:alignment vertical="center" wrapText="1"/>
    </x:xf>
    <x:xf numFmtId="165" fontId="0" fillId="0" borderId="11" xfId="0" applyAlignment="1">
      <x:alignment vertical="center" wrapText="1"/>
    </x:xf>
    <x:xf numFmtId="171" fontId="0" fillId="0" borderId="11" xfId="0" applyAlignment="1">
      <x:alignment vertical="center" wrapText="1"/>
    </x:xf>
    <x:xf numFmtId="0" fontId="0" fillId="0" borderId="19" xfId="0" applyAlignment="1">
      <x:alignment vertical="center" wrapText="1"/>
    </x:xf>
    <x:xf numFmtId="0" fontId="1" fillId="29" borderId="4" xfId="0" applyAlignment="1">
      <x:alignment horizontal="center" vertical="center" wrapText="1"/>
    </x:xf>
    <x:xf numFmtId="0" fontId="1" fillId="29" borderId="5" xfId="0" applyAlignment="1">
      <x:alignment horizontal="center" vertical="center" wrapText="1"/>
    </x:xf>
    <x:xf numFmtId="0" fontId="0" fillId="29" borderId="5" xfId="0" applyAlignment="1">
      <x:alignment vertical="center" wrapText="1"/>
    </x:xf>
    <x:xf numFmtId="0" fontId="0" fillId="29" borderId="6" xfId="0" applyAlignment="1">
      <x:alignment vertical="center" wrapText="1"/>
    </x:xf>
    <x:xf numFmtId="0" fontId="1" fillId="29" borderId="5" xfId="0" applyAlignment="1">
      <x:alignment vertical="center" wrapText="1"/>
    </x:xf>
    <x:xf numFmtId="0" fontId="1" fillId="29" borderId="6" xfId="0" applyAlignment="1">
      <x:alignment vertical="center" wrapText="1"/>
    </x:xf>
    <x:xf numFmtId="0" fontId="1" fillId="29" borderId="6" xfId="0" applyAlignment="1">
      <x:alignment horizontal="center" vertical="center" wrapText="1"/>
    </x:xf>
    <x:xf numFmtId="0" fontId="11" fillId="29" borderId="13" xfId="0" applyAlignment="1">
      <x:alignment horizontal="center" vertical="center" wrapText="1"/>
    </x:xf>
    <x:xf numFmtId="0" fontId="11" fillId="29" borderId="14" xfId="0" applyAlignment="1">
      <x:alignment horizontal="center" vertical="center" wrapText="1"/>
    </x:xf>
    <x:xf numFmtId="0" fontId="11" fillId="29" borderId="15" xfId="0" applyAlignment="1">
      <x:alignment horizontal="center" vertical="center" wrapText="1"/>
    </x:xf>
    <x:xf numFmtId="171" fontId="0" fillId="0" borderId="8" xfId="0" applyAlignment="1">
      <x:alignment vertical="top" wrapText="1"/>
    </x:xf>
    <x:xf numFmtId="171" fontId="0" fillId="0" borderId="8" xfId="0" applyAlignment="1">
      <x:alignment vertical="center" wrapText="1"/>
    </x:xf>
    <x:xf numFmtId="171" fontId="0" fillId="0" borderId="11" xfId="0" applyAlignment="1">
      <x:alignment vertical="center" wrapText="1"/>
    </x:xf>
    <x:xf numFmtId="171" fontId="0" fillId="0" borderId="0" xfId="0" applyAlignment="1">
      <x:alignment vertical="center"/>
    </x:xf>
    <x:xf numFmtId="171" fontId="0" fillId="0" borderId="3" xfId="0" applyAlignment="1">
      <x:alignment vertical="top" wrapText="1"/>
    </x:xf>
    <x:xf numFmtId="171" fontId="0" fillId="0" borderId="0" xfId="0"/>
    <x:xf numFmtId="0" fontId="19" fillId="40" borderId="20" xfId="0" applyAlignment="1">
      <x:alignment horizontal="center" vertical="center" wrapText="1"/>
    </x:xf>
    <x:xf numFmtId="0" fontId="0" fillId="0" borderId="20" xfId="0" applyAlignment="1">
      <x:alignment vertical="center" wrapText="1"/>
    </x:xf>
    <x:xf numFmtId="167" fontId="0" fillId="0" borderId="20" xfId="0" applyAlignment="1">
      <x:alignment vertical="center" wrapText="1"/>
    </x:xf>
    <x:xf numFmtId="0" fontId="16" fillId="30" borderId="20" xfId="0" applyAlignment="1">
      <x:alignment horizontal="center" vertical="center" wrapText="1"/>
    </x:xf>
    <x:xf numFmtId="165" fontId="0" fillId="0" borderId="20" xfId="0" applyAlignment="1">
      <x:alignment vertical="center" wrapText="1"/>
    </x:xf>
    <x:xf numFmtId="0" fontId="17" fillId="32" borderId="20" xfId="0" applyAlignment="1">
      <x:alignment vertical="center" wrapText="1"/>
    </x:xf>
    <x:xf numFmtId="168" fontId="0" fillId="0" borderId="20" xfId="0" applyAlignment="1">
      <x:alignment vertical="center" wrapText="1"/>
    </x:xf>
    <x:xf numFmtId="0" fontId="0" fillId="32" borderId="20" xfId="0" applyAlignment="1">
      <x:alignment vertical="center" wrapText="1"/>
    </x:xf>
    <x:xf numFmtId="0" fontId="17" fillId="31" borderId="20" xfId="0" applyAlignment="1">
      <x:alignment vertical="center" wrapText="1"/>
    </x:xf>
    <x:xf numFmtId="0" fontId="17" fillId="33" borderId="20" xfId="0" applyAlignment="1">
      <x:alignment vertical="center" wrapText="1"/>
    </x:xf>
    <x:xf numFmtId="0" fontId="17" fillId="34" borderId="20" xfId="0" applyAlignment="1">
      <x:alignment vertical="center" wrapText="1"/>
    </x:xf>
    <x:xf numFmtId="0" fontId="17" fillId="35" borderId="20" xfId="0" applyAlignment="1">
      <x:alignment vertical="center" wrapText="1"/>
    </x:xf>
    <x:xf numFmtId="0" fontId="17" fillId="36" borderId="20" xfId="0" applyAlignment="1">
      <x:alignment vertical="center" wrapText="1"/>
    </x:xf>
    <x:xf numFmtId="0" fontId="17" fillId="37" borderId="20" xfId="0" applyAlignment="1">
      <x:alignment vertical="center" wrapText="1"/>
    </x:xf>
    <x:xf numFmtId="0" fontId="17" fillId="38" borderId="20" xfId="0" applyAlignment="1">
      <x:alignment vertical="center" wrapText="1"/>
    </x:xf>
    <x:xf numFmtId="0" fontId="17" fillId="39" borderId="20" xfId="0" applyAlignment="1">
      <x:alignment vertical="center" wrapText="1"/>
    </x:xf>
    <x:xf numFmtId="0" fontId="20" fillId="0" borderId="21" xfId="1"/>
    <x:xf numFmtId="0" fontId="18" fillId="40" borderId="20" xfId="0" applyAlignment="1">
      <x:alignment horizontal="center" vertical="center" wrapText="1"/>
    </x:xf>
    <x:xf numFmtId="0" fontId="16" fillId="30" borderId="20" xfId="0" applyAlignment="1">
      <x:alignment vertical="center" wrapText="1"/>
    </x:xf>
    <x:xf numFmtId="170" fontId="0" fillId="0" borderId="20" xfId="0" applyAlignment="1">
      <x:alignment vertical="center" wrapText="1"/>
    </x:xf>
    <x:xf numFmtId="0" fontId="0" fillId="0" borderId="24" xfId="0"/>
    <x:xf numFmtId="0" fontId="0" fillId="0" borderId="25" xfId="0"/>
  </x:cellXfs>
  <x:cellStyles count="2">
    <x:cellStyle name="Normal" xfId="0"/>
    <x:cellStyle name="Hyperlink" xfId="1"/>
  </x:cellStyles>
  <x:dxfs count="111">
    <x:dxf>
      <x:fill>
        <x:patternFill>
          <x:bgColor rgb="00DCFCE7"/>
        </x:patternFill>
      </x:fill>
    </x:dxf>
    <x:dxf>
      <x:fill>
        <x:patternFill>
          <x:bgColor rgb="00FEE2E2"/>
        </x:patternFill>
      </x:fill>
    </x:dxf>
    <x:dxf>
      <x:fill>
        <x:patternFill>
          <x:bgColor rgb="00DBEAFE"/>
        </x:patternFill>
      </x:fill>
    </x:dxf>
    <x:dxf>
      <x:fill>
        <x:patternFill>
          <x:bgColor rgb="00FEF3C7"/>
        </x:patternFill>
      </x:fill>
    </x:dxf>
    <x:dxf>
      <x:font>
        <x:b/>
        <x:color rgb="00166534"/>
      </x:font>
      <x:fill>
        <x:patternFill>
          <x:bgColor rgb="00DCFCE7"/>
        </x:patternFill>
      </x:fill>
    </x:dxf>
    <x:dxf>
      <x:font>
        <x:b/>
        <x:color rgb="00991B1B"/>
      </x:font>
      <x:fill>
        <x:patternFill>
          <x:bgColor rgb="00FEE2E2"/>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ont>
        <x:color rgb="00FFFFFF"/>
      </x:font>
      <x:fill>
        <x:patternFill>
          <x:bgColor rgb="00111827"/>
        </x:patternFill>
      </x:fill>
    </x:dxf>
    <x:dxf>
      <x:font>
        <x:color rgb="00111827"/>
      </x:font>
      <x:fill>
        <x:patternFill>
          <x:bgColor rgb="00DBEAFE"/>
        </x:patternFill>
      </x:fill>
    </x:dxf>
    <x:dxf>
      <x:font>
        <x:color rgb="00111827"/>
      </x:font>
      <x:fill>
        <x:patternFill>
          <x:bgColor rgb="00FECACA"/>
        </x:patternFill>
      </x:fill>
    </x:dxf>
    <x:dxf>
      <x:font>
        <x:color rgb="00111827"/>
      </x:font>
      <x:fill>
        <x:patternFill>
          <x:bgColor rgb="00DCFCE7"/>
        </x:patternFill>
      </x:fill>
    </x:dxf>
    <x:dxf>
      <x:font>
        <x:color rgb="00111827"/>
      </x:font>
      <x:fill>
        <x:patternFill>
          <x:bgColor rgb="00E9D5FF"/>
        </x:patternFill>
      </x:fill>
    </x:dxf>
    <x:dxf>
      <x:font>
        <x:color rgb="00111827"/>
      </x:font>
      <x:fill>
        <x:patternFill>
          <x:bgColor rgb="00FEF3C7"/>
        </x:patternFill>
      </x:fill>
    </x:dxf>
    <x:dxf>
      <x:font>
        <x:color rgb="00111827"/>
      </x:font>
      <x:fill>
        <x:patternFill>
          <x:bgColor rgb="00E5E7EB"/>
        </x:patternFill>
      </x:fill>
    </x:dxf>
    <x:dxf>
      <x:font>
        <x:color rgb="00111827"/>
      </x:font>
      <x:fill>
        <x:patternFill>
          <x:bgColor rgb="00FFFFFF"/>
        </x:patternFill>
      </x:fill>
    </x:dxf>
    <x:dxf>
      <x:font>
        <x:color rgb="00111827"/>
      </x:font>
      <x:fill>
        <x:patternFill>
          <x:bgColor rgb="00F8FAFC"/>
        </x:patternFill>
      </x:fill>
    </x:dxf>
    <x:dxf>
      <x:font>
        <x:color rgb="00111827"/>
      </x:font>
      <x:fill>
        <x:patternFill>
          <x:bgColor rgb="00E5E7EB"/>
        </x:patternFill>
      </x:fill>
    </x:dxf>
    <x:dxf>
      <x:font>
        <x:color rgb="00111827"/>
      </x:font>
      <x:fill>
        <x:patternFill>
          <x:bgColor rgb="00FED7AA"/>
        </x:patternFill>
      </x:fill>
    </x:dxf>
    <x:dxf>
      <x:font>
        <x:color rgb="00111827"/>
      </x:font>
      <x:fill>
        <x:patternFill>
          <x:bgColor rgb="00FBCFE8"/>
        </x:patternFill>
      </x:fill>
    </x:dxf>
    <x:dxf>
      <x:font>
        <x:color rgb="00111827"/>
      </x:font>
      <x:fill>
        <x:patternFill>
          <x:bgColor rgb="00FEF9C3"/>
        </x:patternFill>
      </x:fill>
    </x:dxf>
    <x:dxf>
      <x:font>
        <x:color rgb="00111827"/>
      </x:font>
      <x:fill>
        <x:patternFill>
          <x:bgColor rgb="00CCFBF1"/>
        </x:patternFill>
      </x:fill>
    </x:dxf>
    <x:dxf>
      <x:font>
        <x:color rgb="00111827"/>
      </x:font>
      <x:fill>
        <x:patternFill>
          <x:bgColor rgb="00F3F4F6"/>
        </x:patternFill>
      </x:fill>
    </x:dxf>
    <x:dxf>
      <x:font>
        <x:color rgb="00111827"/>
      </x:font>
      <x:fill>
        <x:patternFill>
          <x:bgColor rgb="00F3F4F6"/>
        </x:patternFill>
      </x:fill>
    </x:dxf>
    <x:dxf>
      <x:font>
        <x:color rgb="00111827"/>
      </x:font>
      <x:fill>
        <x:patternFill>
          <x:bgColor rgb="00FDE68A"/>
        </x:patternFill>
      </x:fill>
    </x:dxf>
    <x:dxf>
      <x:fill>
        <x:patternFill>
          <x:bgColor rgb="00C6EFCE"/>
        </x:patternFill>
      </x:fill>
    </x:dxf>
    <x:dxf>
      <x:fill>
        <x:patternFill>
          <x:bgColor rgb="00F4CCCC"/>
        </x:patternFill>
      </x:fill>
    </x:dxf>
    <x:dxf>
      <x:fill>
        <x:patternFill>
          <x:bgColor rgb="00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690ebcec91640a2" /><Relationship Type="http://schemas.openxmlformats.org/officeDocument/2006/relationships/theme" Target="/xl/theme/theme1.xml" Id="R2e8369311d384357" /><Relationship Type="http://schemas.openxmlformats.org/officeDocument/2006/relationships/sharedStrings" Target="/xl/sharedStrings.xml" Id="R0912d6f962dd4323" /><Relationship Type="http://schemas.openxmlformats.org/officeDocument/2006/relationships/worksheet" Target="/xl/worksheets/sheet1.xml" Id="R3f1c6dd88bd84a02" /><Relationship Type="http://schemas.openxmlformats.org/officeDocument/2006/relationships/worksheet" Target="/xl/worksheets/sheet2.xml" Id="R95d19237d6884357" /><Relationship Type="http://schemas.openxmlformats.org/officeDocument/2006/relationships/worksheet" Target="/xl/worksheets/sheet3.xml" Id="R2fe74c4a9ca948b7" /><Relationship Type="http://schemas.openxmlformats.org/officeDocument/2006/relationships/worksheet" Target="/xl/worksheets/sheet4.xml" Id="R26d82086a62141dc" /><Relationship Type="http://schemas.openxmlformats.org/officeDocument/2006/relationships/worksheet" Target="/xl/worksheets/sheet5.xml" Id="Rfb5960aef7fb417c" /><Relationship Type="http://schemas.openxmlformats.org/officeDocument/2006/relationships/worksheet" Target="/xl/worksheets/sheet6.xml" Id="R9951a456bb26439c" /><Relationship Type="http://schemas.openxmlformats.org/officeDocument/2006/relationships/worksheet" Target="/xl/worksheets/sheet7.xml" Id="Raeb42aebad2a4062" /><Relationship Type="http://schemas.openxmlformats.org/officeDocument/2006/relationships/worksheet" Target="/xl/worksheets/sheet8.xml" Id="R485f7c81899b4306" /><Relationship Type="http://schemas.openxmlformats.org/officeDocument/2006/relationships/worksheet" Target="/xl/worksheets/sheet9.xml" Id="R348e71b711284376" /><Relationship Type="http://schemas.openxmlformats.org/officeDocument/2006/relationships/worksheet" Target="/xl/worksheets/sheet10.xml" Id="Reaf69b2fbe114e4c" /><Relationship Type="http://schemas.openxmlformats.org/officeDocument/2006/relationships/worksheet" Target="/xl/worksheets/sheet11.xml" Id="R59c836d109ed4b3f" /><Relationship Type="http://schemas.openxmlformats.org/officeDocument/2006/relationships/worksheet" Target="/xl/worksheets/sheet12.xml" Id="R4e9d6465cc09439c" /><Relationship Type="http://schemas.openxmlformats.org/officeDocument/2006/relationships/worksheet" Target="/xl/worksheets/sheet13.xml" Id="Rff1c516ce68c42f2" /><Relationship Type="http://schemas.openxmlformats.org/officeDocument/2006/relationships/worksheet" Target="/xl/worksheets/sheet14.xml" Id="Rd2f403d01b4442b5" /></Relationships>
</file>

<file path=xl/drawings/_rels/drawing1.xml.rels>&#65279;<?xml version="1.0" encoding="utf-8"?><Relationships xmlns="http://schemas.openxmlformats.org/package/2006/relationships"><Relationship Type="http://schemas.openxmlformats.org/officeDocument/2006/relationships/chart" Target="/xl/drawings/charts/chart1.xml" Id="R5680f9607c6c402e" /><Relationship Type="http://schemas.openxmlformats.org/officeDocument/2006/relationships/chart" Target="/xl/drawings/charts/chart2.xml" Id="R2fd108c3b0d841a1" /></Relationships>
</file>

<file path=xl/drawings/_rels/drawing2.xml.rels>&#65279;<?xml version="1.0" encoding="utf-8"?><Relationships xmlns="http://schemas.openxmlformats.org/package/2006/relationships"><Relationship Type="http://schemas.openxmlformats.org/officeDocument/2006/relationships/image" Target="/xl/media/image.jpg" Id="Rf36cd6db492d4638" /></Relationships>
</file>

<file path=xl/drawings/_rels/drawing3.xml.rels>&#65279;<?xml version="1.0" encoding="utf-8"?><Relationships xmlns="http://schemas.openxmlformats.org/package/2006/relationships"><Relationship Type="http://schemas.openxmlformats.org/officeDocument/2006/relationships/image" Target="/xl/media/image2.jpg" Id="Rd246797501034165" /></Relationships>
</file>

<file path=xl/drawings/_rels/drawing4.xml.rels>&#65279;<?xml version="1.0" encoding="utf-8"?><Relationships xmlns="http://schemas.openxmlformats.org/package/2006/relationships"><Relationship Type="http://schemas.openxmlformats.org/officeDocument/2006/relationships/image" Target="/xl/media/image3.jpg" Id="Raeae3e7cd10f462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COA Count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Purity by Lab</a:t>
            </a:r>
          </a:p>
        </c:rich>
      </c:tx>
      <c:overlay val="0"/>
    </c:title>
    <c:autoTitleDeleted val="0"/>
    <c:plotArea>
      <c:layout/>
      <c:barChart>
        <c:barDir val="col"/>
        <c:grouping val="clustered"/>
        <c:varyColors val="0"/>
        <c:ser>
          <c:idx val="0"/>
          <c:order val="0"/>
          <c:tx>
            <c:v>COA Count</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Dashboard!$B$11:$B$14</c:f>
              <c:numCache>
                <c:formatCode>General</c:formatCode>
                <c:ptCount val="4"/>
                <c:pt idx="0">
                  <c:v>14</c:v>
                </c:pt>
                <c:pt idx="1">
                  <c:v>3</c:v>
                </c:pt>
                <c:pt idx="2">
                  <c:v>3</c:v>
                </c:pt>
                <c:pt idx="3">
                  <c:v>1</c:v>
                </c:pt>
              </c:numCache>
            </c:numRef>
          </c:val>
        </c:ser>
        <c:ser>
          <c:idx val="1"/>
          <c:order val="1"/>
          <c:tx>
            <c:v>Average Purity</c:v>
          </c:tx>
          <c:spPr>
            <a:ln xmlns:a="http://schemas.openxmlformats.org/drawingml/2006/main">
              <a:prstDash val="solid"/>
            </a:ln>
          </c:spPr>
          <c:cat>
            <c:strRef>
              <c:f>Dashboard!$A$11:$A$14</c:f>
              <c:strCache>
                <c:ptCount val="4"/>
                <c:pt idx="0">
                  <c:v>Janoshik</c:v>
                </c:pt>
                <c:pt idx="1">
                  <c:v>BT Labs</c:v>
                </c:pt>
                <c:pt idx="2">
                  <c:v>Kovera Labs</c:v>
                </c:pt>
                <c:pt idx="3">
                  <c:v>Aminos Analytics</c:v>
                </c:pt>
              </c:strCache>
            </c:strRef>
          </c:cat>
          <c:val>
            <c:numRef>
              <c:f>Dashboard!$C$11:$C$14</c:f>
              <c:numCache>
                <c:formatCode>0.000%</c:formatCode>
                <c:ptCount val="4"/>
                <c:pt idx="0">
                  <c:v>99.57366666666667</c:v>
                </c:pt>
                <c:pt idx="1">
                  <c:v>99.73333333333333</c:v>
                </c:pt>
                <c:pt idx="2">
                  <c:v>99.70266666666664</c:v>
                </c:pt>
                <c:pt idx="3">
                  <c:v>99.5</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2</xdr:row>
      <xdr:rowOff>0</xdr:rowOff>
    </xdr:from>
    <xdr:to>
      <xdr:col>13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680f9607c6c402e"/>
        </a:graphicData>
      </a:graphic>
    </xdr:graphicFrame>
    <xdr:clientData/>
  </xdr:twoCellAnchor>
  <xdr:twoCellAnchor>
    <xdr:from>
      <xdr:col>5</xdr:col>
      <xdr:colOff>0</xdr:colOff>
      <xdr:row>19</xdr:row>
      <xdr:rowOff>0</xdr:rowOff>
    </xdr:from>
    <xdr:to>
      <xdr:col>13</xdr:col>
      <xdr:colOff>0</xdr:colOff>
      <xdr:row>35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fd108c3b0d841a1"/>
        </a:graphicData>
      </a:graphic>
    </xdr:graphicFrame>
    <xdr:clientData/>
  </xdr:twoCellAnchor>
</xdr:wsDr>
</file>

<file path=xl/drawings/drawing2.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1.jpeg"/>
        <xdr:cNvPicPr>
          <a:picLocks xmlns:a="http://schemas.openxmlformats.org/drawingml/2006/main" noChangeAspect="1"/>
        </xdr:cNvPicPr>
      </xdr:nvPicPr>
      <xdr:blipFill>
        <a:blip xmlns:r="http://schemas.openxmlformats.org/officeDocument/2006/relationships" xmlns:a="http://schemas.openxmlformats.org/drawingml/2006/main" r:embed="Rf36cd6db492d4638"/>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2.jpeg"/>
        <xdr:cNvPicPr>
          <a:picLocks xmlns:a="http://schemas.openxmlformats.org/drawingml/2006/main" noChangeAspect="1"/>
        </xdr:cNvPicPr>
      </xdr:nvPicPr>
      <xdr:blipFill>
        <a:blip xmlns:r="http://schemas.openxmlformats.org/officeDocument/2006/relationships" xmlns:a="http://schemas.openxmlformats.org/drawingml/2006/main" r:embed="Rd246797501034165"/>
        <a:stretch xmlns:a="http://schemas.openxmlformats.org/drawingml/2006/main">
          <a:fillRect/>
        </a:stretch>
      </xdr:blipFill>
      <xdr:spPr>
        <a:prstGeom xmlns:a="http://schemas.openxmlformats.org/drawingml/2006/main" prst="rect"/>
      </xdr:spPr>
    </xdr:pic>
    <xdr:clientData/>
  </xdr:oneCellAnchor>
</xdr:wsDr>
</file>

<file path=xl/drawings/drawing4.xml><?xml version="1.0" encoding="utf-8"?>
<xdr:wsDr xmlns:xdr="http://schemas.openxmlformats.org/drawingml/2006/spreadsheetDrawing">
  <xdr:oneCellAnchor>
    <xdr:from>
      <xdr:col>0</xdr:col>
      <xdr:colOff>0</xdr:colOff>
      <xdr:row>2</xdr:row>
      <xdr:rowOff>0</xdr:rowOff>
    </xdr:from>
    <xdr:ext cx="5715000" cy="8572500"/>
    <xdr:pic>
      <xdr:nvPicPr>
        <xdr:cNvPr id="1" name="/xl/media/image3.jpeg"/>
        <xdr:cNvPicPr>
          <a:picLocks xmlns:a="http://schemas.openxmlformats.org/drawingml/2006/main" noChangeAspect="1"/>
        </xdr:cNvPicPr>
      </xdr:nvPicPr>
      <xdr:blipFill>
        <a:blip xmlns:r="http://schemas.openxmlformats.org/officeDocument/2006/relationships" xmlns:a="http://schemas.openxmlformats.org/drawingml/2006/main" r:embed="Raeae3e7cd10f4620"/>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COADatabaseTable" displayName="COADatabase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2.xml><?xml version="1.0" encoding="utf-8"?>
<x:table xmlns:x="http://schemas.openxmlformats.org/spreadsheetml/2006/main" id="2" name="PurityRankingsTable" displayName="PurityRankingsTable" ref="A1:N25" headerRowCount="1">
  <x:autoFilter ref="A1:N25"/>
  <x:tableColumns count="14">
    <x:tableColumn id="1" name="Rank"/>
    <x:tableColumn id="2" name="COA ID"/>
    <x:tableColumn id="3" name="Compound"/>
    <x:tableColumn id="4" name="Compound Type"/>
    <x:tableColumn id="5" name="Labeled Qty (mg)"/>
    <x:tableColumn id="6" name="Actual Content (mg)"/>
    <x:tableColumn id="7" name="Variance %"/>
    <x:tableColumn id="8" name="Purity %"/>
    <x:tableColumn id="9" name="Status"/>
    <x:tableColumn id="10" name="Lab"/>
    <x:tableColumn id="11" name="Test Date"/>
    <x:tableColumn id="12" name="Cap Color"/>
    <x:tableColumn id="13" name="Crimp Color"/>
    <x:tableColumn id="14" name="Notes"/>
  </x:tableColumns>
  <x:tableStyleInfo name="TableStyleMedium2" showRowStripes="1"/>
</x:table>
</file>

<file path=xl/tables/table3.xml><?xml version="1.0" encoding="utf-8"?>
<x:table xmlns:x="http://schemas.openxmlformats.org/spreadsheetml/2006/main" id="3" name="BatchHistoryTable" displayName="BatchHistoryTable" ref="A1:V25" headerRowCount="1">
  <x:autoFilter ref="A1:V25"/>
  <x:tableColumns count="22">
    <x:tableColumn id="1" name="COA ID"/>
    <x:tableColumn id="2" name="Compound"/>
    <x:tableColumn id="3" name="Compound Type"/>
    <x:tableColumn id="4" name="Labeled Qty (mg)"/>
    <x:tableColumn id="5" name="Actual Content (mg)"/>
    <x:tableColumn id="6" name="Variance (mg)"/>
    <x:tableColumn id="7" name="Variance %"/>
    <x:tableColumn id="8" name="Purity %"/>
    <x:tableColumn id="9" name="Status"/>
    <x:tableColumn id="10" name="Lab"/>
    <x:tableColumn id="11" name="Lab Match"/>
    <x:tableColumn id="12" name="Test Date"/>
    <x:tableColumn id="13" name="Report/Task #"/>
    <x:tableColumn id="14" name="Verification Key"/>
    <x:tableColumn id="15" name="Batch/Lot"/>
    <x:tableColumn id="16" name="Source Type"/>
    <x:tableColumn id="17" name="Pass/Fail"/>
    <x:tableColumn id="18" name="Duplicate Handling"/>
    <x:tableColumn id="19" name="Notes"/>
    <x:tableColumn id="20" name="Crimp Color"/>
    <x:tableColumn id="21" name="Cap Color"/>
    <x:tableColumn id="22" name="Closure Notes"/>
  </x:tableColumns>
  <x:tableStyleInfo name="TableStyleMedium2" showRowStripes="1"/>
</x:table>
</file>

<file path=xl/tables/table4.xml><?xml version="1.0" encoding="utf-8"?>
<x:table xmlns:x="http://schemas.openxmlformats.org/spreadsheetml/2006/main" id="4" name="LabMatchTable" displayName="LabMatchTable" ref="A1:D5" headerRowCount="1">
  <x:tableColumns count="4">
    <x:tableColumn id="1" name="Lab"/>
    <x:tableColumn id="2" name="Compounds matched to this lab"/>
    <x:tableColumn id="3" name="Evidence / Source Type"/>
    <x:tableColumn id="4" name="Notes"/>
  </x:tableColumns>
  <x:tableStyleInfo name="TableStyleMedium2" showRowStripes="1"/>
</x:table>
</file>

<file path=xl/tables/table5.xml><?xml version="1.0" encoding="utf-8"?>
<x:table xmlns:x="http://schemas.openxmlformats.org/spreadsheetml/2006/main" id="5" name="InventoryTable" displayName="InventoryTable" ref="A1:T25" headerRowCount="1">
  <x:autoFilter ref="A1:T25"/>
  <x:tableColumns count="20">
    <x:tableColumn id="1" name="Item ID"/>
    <x:tableColumn id="2" name="Compound"/>
    <x:tableColumn id="3" name="Compound Type"/>
    <x:tableColumn id="4" name="Strength (mg)"/>
    <x:tableColumn id="5" name="Actual Content (mg)"/>
    <x:tableColumn id="6" name="Variance (mg)"/>
    <x:tableColumn id="7" name="Variance %"/>
    <x:tableColumn id="8" name="Purity %"/>
    <x:tableColumn id="9" name="Batch/Lot"/>
    <x:tableColumn id="10" name="Lab"/>
    <x:tableColumn id="11" name="Status"/>
    <x:tableColumn id="12" name="Last COA Date"/>
    <x:tableColumn id="13" name="COA ID"/>
    <x:tableColumn id="14" name="Report/Task #"/>
    <x:tableColumn id="15" name="Verification Key"/>
    <x:tableColumn id="16" name="Certificate Link"/>
    <x:tableColumn id="17" name="Cap Color"/>
    <x:tableColumn id="18" name="Crimp Color"/>
    <x:tableColumn id="19" name="Closure Notes"/>
    <x:tableColumn id="20" name="Notes"/>
  </x:tableColumns>
  <x:tableStyleInfo name="TableStyleMedium2" showRowStripes="1"/>
</x:table>
</file>

<file path=xl/tables/table6.xml><?xml version="1.0" encoding="utf-8"?>
<x:table xmlns:x="http://schemas.openxmlformats.org/spreadsheetml/2006/main" id="6" name="CertificatesTable" displayName="CertificatesTable" ref="A1:U25" headerRowCount="1">
  <x:autoFilter ref="A1:U25"/>
  <x:tableColumns count="21">
    <x:tableColumn id="1" name="COA ID"/>
    <x:tableColumn id="2" name="Compound"/>
    <x:tableColumn id="3" name="Compound Type"/>
    <x:tableColumn id="4" name="Lab"/>
    <x:tableColumn id="5" name="Report/Task #"/>
    <x:tableColumn id="6" name="Verification Key"/>
    <x:tableColumn id="7" name="File/Link"/>
    <x:tableColumn id="8" name="Verified?"/>
    <x:tableColumn id="9" name="Labeled Qty (mg)"/>
    <x:tableColumn id="10" name="Actual Content (mg)"/>
    <x:tableColumn id="11" name="Variance (mg)"/>
    <x:tableColumn id="12" name="Variance %"/>
    <x:tableColumn id="13" name="Purity %"/>
    <x:tableColumn id="14" name="Status"/>
    <x:tableColumn id="15" name="Batch/Lot"/>
    <x:tableColumn id="16" name="Test Date"/>
    <x:tableColumn id="17" name="Pass/Fail"/>
    <x:tableColumn id="18" name="Notes"/>
    <x:tableColumn id="19" name="Crimp Color"/>
    <x:tableColumn id="20" name="Cap Color"/>
    <x:tableColumn id="21" name="Closure Notes"/>
  </x:tableColumns>
  <x:tableStyleInfo name="TableStyleMedium2" showRowStripes="1"/>
</x:table>
</file>

<file path=xl/tables/table7.xml><?xml version="1.0" encoding="utf-8"?>
<x:table xmlns:x="http://schemas.openxmlformats.org/spreadsheetml/2006/main" id="7" name="HalfLifeReferenceTable" displayName="HalfLifeReferenceTable" ref="A2:G88" headerRowCount="1">
  <x:tableColumns count="7">
    <x:tableColumn id="1" name="Peptide"/>
    <x:tableColumn id="2" name="Alias/Abbrev"/>
    <x:tableColumn id="3" name="Category"/>
    <x:tableColumn id="4" name="Approx Half-Life"/>
    <x:tableColumn id="5" name="Active Duration / Notes"/>
    <x:tableColumn id="6" name="Common Route(s)"/>
    <x:tableColumn id="7" name="Reference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c99624863454e9e" /></Relationships>
</file>

<file path=xl/worksheets/_rels/sheet2.xml.rels>&#65279;<?xml version="1.0" encoding="utf-8"?><Relationships xmlns="http://schemas.openxmlformats.org/package/2006/relationships"><Relationship Type="http://schemas.openxmlformats.org/officeDocument/2006/relationships/table" Target="/xl/tables/table1.xml" Id="R73b3399c435d464e" /></Relationships>
</file>

<file path=xl/worksheets/_rels/sheet3.xml.rels>&#65279;<?xml version="1.0" encoding="utf-8"?><Relationships xmlns="http://schemas.openxmlformats.org/package/2006/relationships"><Relationship Type="http://schemas.openxmlformats.org/officeDocument/2006/relationships/table" Target="/xl/tables/table2.xml" Id="R6cda59335a704e71" /></Relationships>
</file>

<file path=xl/worksheets/_rels/sheet4.xml.rels>&#65279;<?xml version="1.0" encoding="utf-8"?><Relationships xmlns="http://schemas.openxmlformats.org/package/2006/relationships"><Relationship Type="http://schemas.openxmlformats.org/officeDocument/2006/relationships/table" Target="/xl/tables/table3.xml" Id="R71edd024bda44499" /></Relationships>
</file>

<file path=xl/worksheets/_rels/sheet5.xml.rels>&#65279;<?xml version="1.0" encoding="utf-8"?><Relationships xmlns="http://schemas.openxmlformats.org/package/2006/relationships"><Relationship Type="http://schemas.openxmlformats.org/officeDocument/2006/relationships/table" Target="/xl/tables/table4.xml" Id="R438eed3c816e493b" /></Relationships>
</file>

<file path=xl/worksheets/_rels/sheet6.xml.rels>&#65279;<?xml version="1.0" encoding="utf-8"?><Relationships xmlns="http://schemas.openxmlformats.org/package/2006/relationships"><Relationship Type="http://schemas.openxmlformats.org/officeDocument/2006/relationships/table" Target="/xl/tables/table5.xml" Id="Rb2086d00ebdd4d6b" /></Relationships>
</file>

<file path=xl/worksheets/_rels/sheet7.xml.rels>&#65279;<?xml version="1.0" encoding="utf-8"?><Relationships xmlns="http://schemas.openxmlformats.org/package/2006/relationships"><Relationship Type="http://schemas.openxmlformats.org/officeDocument/2006/relationships/table" Target="/xl/tables/table6.xml" Id="Rb2829db6f50b4cca" /></Relationships>
</file>

<file path=xl/worksheets/_rels/sheet11.xml.rels>&#65279;<?xml version="1.0" encoding="utf-8"?><Relationships xmlns="http://schemas.openxmlformats.org/package/2006/relationships"><Relationship Type="http://schemas.openxmlformats.org/officeDocument/2006/relationships/table" Target="/xl/tables/table7.xml" Id="Rbc3c0b83506a4ae0" /></Relationships>
</file>

<file path=xl/worksheets/_rels/sheet12.xml.rels>&#65279;<?xml version="1.0" encoding="utf-8"?><Relationships xmlns="http://schemas.openxmlformats.org/package/2006/relationships"><Relationship Type="http://schemas.openxmlformats.org/officeDocument/2006/relationships/drawing" Target="/xl/drawings/drawing2.xml" Id="Rbdc05f4ad6c74734" /></Relationships>
</file>

<file path=xl/worksheets/_rels/sheet13.xml.rels>&#65279;<?xml version="1.0" encoding="utf-8"?><Relationships xmlns="http://schemas.openxmlformats.org/package/2006/relationships"><Relationship Type="http://schemas.openxmlformats.org/officeDocument/2006/relationships/drawing" Target="/xl/drawings/drawing3.xml" Id="R2329b0328f784441" /></Relationships>
</file>

<file path=xl/worksheets/_rels/sheet14.xml.rels>&#65279;<?xml version="1.0" encoding="utf-8"?><Relationships xmlns="http://schemas.openxmlformats.org/package/2006/relationships"><Relationship Type="http://schemas.openxmlformats.org/officeDocument/2006/relationships/drawing" Target="/xl/drawings/drawing4.xml" Id="R004972f4506c4ae3" /></Relationships>
</file>

<file path=xl/worksheets/sheet1.xml><?xml version="1.0" encoding="utf-8"?>
<x:worksheet xmlns:x="http://schemas.openxmlformats.org/spreadsheetml/2006/main">
  <x:sheetFormatPr baseColWidth="8" defaultRowHeight="13.800000190734863"/>
  <x:cols>
    <x:col min="1" max="1" width="38" style="198" customWidth="1"/>
    <x:col min="2" max="2" width="17" style="198" customWidth="1"/>
    <x:col min="3" max="3" width="40" style="198" customWidth="1"/>
    <x:col min="4" max="4" width="10"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22" style="198" customWidth="1"/>
    <x:col min="17" max="17" width="22"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s="198" customFormat="1" ht="30" customHeight="1">
      <x:c r="A1" s="360" t="inlineStr">
        <x:is>
          <x:t xml:space="preserve">Peptide Research Inventory Dashboard</x:t>
        </x:is>
      </x:c>
      <x:c r="B1" s="380" t="n"/>
      <x:c r="C1" s="380" t="n"/>
      <x:c r="D1" s="380" t="n"/>
      <x:c r="E1" s="380" t="n"/>
      <x:c r="F1" s="380" t="n"/>
      <x:c r="G1" s="380" t="n"/>
      <x:c r="H1" s="381" t="n"/>
    </x:row>
    <x:row r="2">
      <x:c r="A2" s="361" t="inlineStr">
        <x:is>
          <x:t xml:space="preserve">Metric</x:t>
        </x:is>
      </x:c>
      <x:c r="B2" s="361" t="inlineStr">
        <x:is>
          <x:t xml:space="preserve">Value</x:t>
        </x:is>
      </x:c>
      <x:c r="C2" s="361" t="inlineStr">
        <x:is>
          <x:t xml:space="preserve">Notes</x:t>
        </x:is>
      </x:c>
      <x:c r="D2" s="362" t="inlineStr">
        <x:is>
          <x:t xml:space="preserve"/>
        </x:is>
      </x:c>
      <x:c r="E2" s="361" t="inlineStr">
        <x:is>
          <x:t xml:space="preserve"/>
        </x:is>
      </x:c>
    </x:row>
    <x:row r="3">
      <x:c r="A3" s="361" t="inlineStr">
        <x:is>
          <x:t xml:space="preserve">Total COA Records</x:t>
        </x:is>
      </x:c>
      <x:c r="B3" s="361" t="n">
        <x:v>34</x:v>
      </x:c>
      <x:c r="C3" s="361" t="inlineStr">
        <x:is>
          <x:t xml:space="preserve">Synced from COA Database</x:t>
        </x:is>
      </x:c>
      <x:c r="D3" s="362" t="inlineStr">
        <x:is>
          <x:t xml:space="preserve"/>
        </x:is>
      </x:c>
      <x:c r="E3" s="361" t="inlineStr">
        <x:is>
          <x:t xml:space="preserve"/>
        </x:is>
      </x:c>
    </x:row>
    <x:row r="4">
      <x:c r="A4" s="361" t="inlineStr">
        <x:is>
          <x:t xml:space="preserve">Unique Peptides</x:t>
        </x:is>
      </x:c>
      <x:c r="B4" s="361" t="n">
        <x:v>13</x:v>
      </x:c>
      <x:c r="C4" s="361" t="inlineStr">
        <x:is>
          <x:t xml:space="preserve">AOD-9604, BPC-157, CJC-1295 No DAC, Cagrilintide, KPV, MOTS-C, Retatrutide, SS-31, TB-500, Tirzepatide</x:t>
        </x:is>
      </x:c>
      <x:c r="D4" s="362" t="inlineStr">
        <x:is>
          <x:t xml:space="preserve"/>
        </x:is>
      </x:c>
      <x:c r="E4" s="361" t="inlineStr">
        <x:is>
          <x:t xml:space="preserve"/>
        </x:is>
      </x:c>
    </x:row>
    <x:row r="5">
      <x:c r="A5" s="361" t="inlineStr">
        <x:is>
          <x:t xml:space="preserve">Average Purity %</x:t>
        </x:is>
      </x:c>
      <x:c r="B5" s="361" t="n">
        <x:v>99.6378</x:v>
      </x:c>
      <x:c r="C5" s="361" t="inlineStr">
        <x:is>
          <x:t xml:space="preserve">Populated purity results</x:t>
        </x:is>
      </x:c>
      <x:c r="D5" s="362" t="inlineStr">
        <x:is>
          <x:t xml:space="preserve"/>
        </x:is>
      </x:c>
      <x:c r="E5" s="361" t="inlineStr">
        <x:is>
          <x:t xml:space="preserve"/>
        </x:is>
      </x:c>
    </x:row>
    <x:row r="6">
      <x:c r="A6" s="361" t="inlineStr">
        <x:is>
          <x:t xml:space="preserve">Overfilled</x:t>
        </x:is>
      </x:c>
      <x:c r="B6" s="361" t="n">
        <x:v>25</x:v>
      </x:c>
      <x:c r="C6" s="361" t="inlineStr">
        <x:is>
          <x:t xml:space="preserve"/>
        </x:is>
      </x:c>
      <x:c r="D6" s="362" t="inlineStr">
        <x:is>
          <x:t xml:space="preserve"/>
        </x:is>
      </x:c>
      <x:c r="E6" s="361" t="inlineStr">
        <x:is>
          <x:t xml:space="preserve"/>
        </x:is>
      </x:c>
    </x:row>
    <x:row r="7">
      <x:c r="A7" s="361" t="inlineStr">
        <x:is>
          <x:t xml:space="preserve">Underfilled</x:t>
        </x:is>
      </x:c>
      <x:c r="B7" s="361" t="n">
        <x:v>1</x:v>
      </x:c>
      <x:c r="C7" s="361" t="inlineStr">
        <x:is>
          <x:t xml:space="preserve"/>
        </x:is>
      </x:c>
      <x:c r="D7" s="362" t="inlineStr">
        <x:is>
          <x:t xml:space="preserve"/>
        </x:is>
      </x:c>
      <x:c r="E7" s="361" t="inlineStr">
        <x:is>
          <x:t xml:space="preserve"/>
        </x:is>
      </x:c>
    </x:row>
    <x:row r="8">
      <x:c r="A8" s="361" t="inlineStr">
        <x:is>
          <x:t xml:space="preserve">On Label/Review</x:t>
        </x:is>
      </x:c>
      <x:c r="B8" s="361" t="n">
        <x:v>8</x:v>
      </x:c>
      <x:c r="C8" s="361" t="inlineStr">
        <x:is>
          <x:t xml:space="preserve"/>
        </x:is>
      </x:c>
      <x:c r="D8" s="362" t="inlineStr">
        <x:is>
          <x:t xml:space="preserve"/>
        </x:is>
      </x:c>
      <x:c r="E8" s="361" t="inlineStr">
        <x:is>
          <x:t xml:space="preserve"/>
        </x:is>
      </x:c>
    </x:row>
    <x:row r="9">
      <x:c r="A9" s="361" t="inlineStr">
        <x:is>
          <x:t xml:space="preserve">Labs Used</x:t>
        </x:is>
      </x:c>
      <x:c r="B9" s="361" t="n">
        <x:v>7</x:v>
      </x:c>
      <x:c r="C9" s="361" t="inlineStr">
        <x:is>
          <x:t xml:space="preserve">Aminos Analytics, BT Labs, Freedom Diagnostics, Janoshik, Kovera Labs</x:t>
        </x:is>
      </x:c>
      <x:c r="D9" s="362" t="inlineStr">
        <x:is>
          <x:t xml:space="preserve"/>
        </x:is>
      </x:c>
      <x:c r="E9" s="361" t="inlineStr">
        <x:is>
          <x:t xml:space="preserve"/>
        </x:is>
      </x:c>
    </x:row>
    <x:row r="10" s="198" customFormat="1" ht="27.600000381469727" customHeight="1">
      <x:c r="A10" s="361" t="inlineStr">
        <x:is>
          <x:t xml:space="preserve">Latest COA Date</x:t>
        </x:is>
      </x:c>
      <x:c r="B10" s="361" t="str">
        <x:v>2026-07-03</x:v>
      </x:c>
      <x:c r="C10" s="361" t="inlineStr">
        <x:is>
          <x:t xml:space="preserve"/>
        </x:is>
      </x:c>
      <x:c r="D10" s="362" t="inlineStr">
        <x:is>
          <x:t xml:space="preserve"/>
        </x:is>
      </x:c>
      <x:c r="E10" s="361" t="inlineStr">
        <x:is>
          <x:t xml:space="preserve"/>
        </x:is>
      </x:c>
    </x:row>
    <x:row r="11">
      <x:c r="A11" s="361" t="n"/>
      <x:c r="B11" s="361" t="n"/>
      <x:c r="C11" s="361" t="n"/>
      <x:c r="D11" s="362" t="n"/>
      <x:c r="E11" s="361" t="n"/>
    </x:row>
    <x:row r="12">
      <x:c r="A12" s="361" t="inlineStr">
        <x:is>
          <x:t xml:space="preserve">Recent / Key Batches</x:t>
        </x:is>
      </x:c>
      <x:c r="B12" s="361" t="inlineStr">
        <x:is>
          <x:t xml:space="preserve">Compound</x:t>
        </x:is>
      </x:c>
      <x:c r="C12" s="361" t="inlineStr">
        <x:is>
          <x:t xml:space="preserve">Lab</x:t>
        </x:is>
      </x:c>
      <x:c r="D12" s="362" t="inlineStr">
        <x:is>
          <x:t xml:space="preserve">Purity %</x:t>
        </x:is>
      </x:c>
      <x:c r="E12" s="361" t="inlineStr">
        <x:is>
          <x:t xml:space="preserve">Cap Color</x:t>
        </x:is>
      </x:c>
    </x:row>
    <x:row r="13">
      <x:c r="A13" s="361" t="inlineStr">
        <x:is>
          <x:t xml:space="preserve">COA-0024</x:t>
        </x:is>
      </x:c>
      <x:c r="B13" s="361" t="inlineStr">
        <x:is>
          <x:t xml:space="preserve">Retatrutide</x:t>
        </x:is>
      </x:c>
      <x:c r="C13" s="361" t="inlineStr">
        <x:is>
          <x:t xml:space="preserve">Freedom Diagnostics</x:t>
        </x:is>
      </x:c>
      <x:c r="D13" s="362" t="n">
        <x:v>99.86</x:v>
      </x:c>
      <x:c r="E13" s="361" t="inlineStr">
        <x:is>
          <x:t xml:space="preserve">Clear Green</x:t>
        </x:is>
      </x:c>
    </x:row>
    <x:row r="14">
      <x:c r="A14" s="361" t="inlineStr">
        <x:is>
          <x:t xml:space="preserve">COA-0004</x:t>
        </x:is>
      </x:c>
      <x:c r="B14" s="361" t="inlineStr">
        <x:is>
          <x:t xml:space="preserve">Retatrutide</x:t>
        </x:is>
      </x:c>
      <x:c r="C14" s="361" t="inlineStr">
        <x:is>
          <x:t xml:space="preserve">Kovera Labs</x:t>
        </x:is>
      </x:c>
      <x:c r="D14" s="362" t="n">
        <x:v>99.491</x:v>
      </x:c>
      <x:c r="E14" s="361" t="inlineStr">
        <x:is>
          <x:t xml:space="preserve">Not Listed</x:t>
        </x:is>
      </x:c>
    </x:row>
    <x:row r="15">
      <x:c r="A15" s="361" t="inlineStr">
        <x:is>
          <x:t xml:space="preserve">COA-0003</x:t>
        </x:is>
      </x:c>
      <x:c r="B15" s="361" t="inlineStr">
        <x:is>
          <x:t xml:space="preserve">Retatrutide</x:t>
        </x:is>
      </x:c>
      <x:c r="C15" s="361" t="inlineStr">
        <x:is>
          <x:t xml:space="preserve">Kovera Labs</x:t>
        </x:is>
      </x:c>
      <x:c r="D15" s="362" t="n">
        <x:v>99.654</x:v>
      </x:c>
      <x:c r="E15" s="361" t="inlineStr">
        <x:is>
          <x:t xml:space="preserve">Not Listed</x:t>
        </x:is>
      </x:c>
    </x:row>
    <x:row r="16" s="198" customFormat="1" ht="28.799999237060547" customHeight="1">
      <x:c r="A16" s="361" t="inlineStr">
        <x:is>
          <x:t xml:space="preserve">COA-0001</x:t>
        </x:is>
      </x:c>
      <x:c r="B16" s="380" t="n"/>
      <x:c r="C16" s="380" t="n"/>
      <x:c r="D16" s="381" t="n"/>
      <x:c r="E16" s="361" t="inlineStr">
        <x:is>
          <x:t xml:space="preserve">Not Listed</x:t>
        </x:is>
      </x:c>
    </x:row>
    <x:row r="17">
      <x:c r="A17" s="361" t="inlineStr">
        <x:is>
          <x:t xml:space="preserve">COA-0012</x:t>
        </x:is>
      </x:c>
      <x:c r="B17" s="361" t="inlineStr">
        <x:is>
          <x:t xml:space="preserve">AOD-9604</x:t>
        </x:is>
      </x:c>
      <x:c r="C17" s="361" t="inlineStr">
        <x:is>
          <x:t xml:space="preserve">Janoshik</x:t>
        </x:is>
      </x:c>
      <x:c r="D17" s="362" t="n">
        <x:v>99.883</x:v>
      </x:c>
      <x:c r="E17" s="361" t="inlineStr">
        <x:is>
          <x:t xml:space="preserve">Not Listed</x:t>
        </x:is>
      </x:c>
    </x:row>
    <x:row r="18">
      <x:c r="A18" s="361" t="inlineStr">
        <x:is>
          <x:t xml:space="preserve">COA-0021</x:t>
        </x:is>
      </x:c>
      <x:c r="B18" s="361" t="inlineStr">
        <x:is>
          <x:t xml:space="preserve">CJC-1295 No DAC</x:t>
        </x:is>
      </x:c>
      <x:c r="C18" s="361" t="inlineStr">
        <x:is>
          <x:t xml:space="preserve">Janoshik</x:t>
        </x:is>
      </x:c>
      <x:c r="D18" s="362" t="n">
        <x:v>99.89700000000001</x:v>
      </x:c>
      <x:c r="E18" s="361" t="inlineStr">
        <x:is>
          <x:t xml:space="preserve">Not Listed</x:t>
        </x:is>
      </x:c>
    </x:row>
    <x:row r="19">
      <x:c r="A19" s="361" t="inlineStr">
        <x:is>
          <x:t xml:space="preserve">COA-0022</x:t>
        </x:is>
      </x:c>
      <x:c r="B19" s="361" t="inlineStr">
        <x:is>
          <x:t xml:space="preserve">Retatrutide</x:t>
        </x:is>
      </x:c>
      <x:c r="C19" s="361" t="inlineStr">
        <x:is>
          <x:t xml:space="preserve">Janoshik</x:t>
        </x:is>
      </x:c>
      <x:c r="D19" s="362" t="n">
        <x:v>99.825</x:v>
      </x:c>
      <x:c r="E19" s="361" t="inlineStr">
        <x:is>
          <x:t xml:space="preserve">Not Listed</x:t>
        </x:is>
      </x:c>
    </x:row>
    <x:row r="20">
      <x:c r="A20" s="361" t="inlineStr">
        <x:is>
          <x:t xml:space="preserve">COA-0023</x:t>
        </x:is>
      </x:c>
      <x:c r="B20" s="361" t="inlineStr">
        <x:is>
          <x:t xml:space="preserve">Tirzepatide</x:t>
        </x:is>
      </x:c>
      <x:c r="C20" s="361" t="inlineStr">
        <x:is>
          <x:t xml:space="preserve">Janoshik</x:t>
        </x:is>
      </x:c>
      <x:c r="D20" s="362" t="n">
        <x:v>99.73099999999999</x:v>
      </x:c>
      <x:c r="E20" s="361" t="inlineStr">
        <x:is>
          <x:t xml:space="preserve">Not Listed</x:t>
        </x:is>
      </x:c>
    </x:row>
    <x:row r="21">
      <x:c r="A21" s="361" t="inlineStr">
        <x:is>
          <x:t xml:space="preserve">COA-0011</x:t>
        </x:is>
      </x:c>
      <x:c r="B21" s="361" t="inlineStr">
        <x:is>
          <x:t xml:space="preserve">Cagrilintide</x:t>
        </x:is>
      </x:c>
      <x:c r="C21" s="361" t="inlineStr">
        <x:is>
          <x:t xml:space="preserve">Janoshik</x:t>
        </x:is>
      </x:c>
      <x:c r="D21" s="362" t="n">
        <x:v>99.04000000000001</x:v>
      </x:c>
      <x:c r="E21" s="361" t="inlineStr">
        <x:is>
          <x:t xml:space="preserve">Not Listed</x:t>
        </x:is>
      </x:c>
    </x:row>
    <x:row r="22">
      <x:c r="A22" s="361" t="inlineStr">
        <x:is>
          <x:t xml:space="preserve">COA-0014</x:t>
        </x:is>
      </x:c>
      <x:c r="B22" s="361" t="inlineStr">
        <x:is>
          <x:t xml:space="preserve">MOTS-C</x:t>
        </x:is>
      </x:c>
      <x:c r="C22" s="361" t="inlineStr">
        <x:is>
          <x:t xml:space="preserve">Janoshik</x:t>
        </x:is>
      </x:c>
      <x:c r="D22" s="362" t="n">
        <x:v>99.05500000000001</x:v>
      </x:c>
      <x:c r="E22" s="361" t="inlineStr">
        <x:is>
          <x:t xml:space="preserve">Not Listed</x:t>
        </x:is>
      </x:c>
    </x:row>
    <x:row r="23">
      <x:c r="A23" s="361" t="inlineStr">
        <x:is>
          <x:t xml:space="preserve">COA-0016</x:t>
        </x:is>
      </x:c>
      <x:c r="B23" s="361" t="inlineStr">
        <x:is>
          <x:t xml:space="preserve">TB-500</x:t>
        </x:is>
      </x:c>
      <x:c r="C23" s="361" t="inlineStr">
        <x:is>
          <x:t xml:space="preserve">Janoshik</x:t>
        </x:is>
      </x:c>
      <x:c r="D23" s="362" t="n">
        <x:v>99.08499999999999</x:v>
      </x:c>
      <x:c r="E23" s="361" t="inlineStr">
        <x:is>
          <x:t xml:space="preserve">Not Listed</x:t>
        </x:is>
      </x:c>
    </x:row>
    <x:row r="24">
      <x:c r="A24" s="361" t="inlineStr">
        <x:is>
          <x:t xml:space="preserve">COA-0019</x:t>
        </x:is>
      </x:c>
      <x:c r="B24" s="361" t="inlineStr">
        <x:is>
          <x:t xml:space="preserve">SS-31</x:t>
        </x:is>
      </x:c>
      <x:c r="C24" s="361" t="inlineStr">
        <x:is>
          <x:t xml:space="preserve">Janoshik</x:t>
        </x:is>
      </x:c>
      <x:c r="D24" s="362" t="n">
        <x:v>99.95</x:v>
      </x:c>
      <x:c r="E24" s="361" t="inlineStr">
        <x:is>
          <x:t xml:space="preserve">Not Listed</x:t>
        </x:is>
      </x:c>
    </x:row>
    <x:row r="25">
      <x:c r="A25" t="str">
        <x:v>COA-0028</x:v>
      </x:c>
      <x:c r="B25" t="str">
        <x:v>BPC/TB Blend</x:v>
      </x:c>
      <x:c r="C25" t="str">
        <x:v>Testides</x:v>
      </x:c>
      <x:c r="D25" t="n">
        <x:v>99.81</x:v>
      </x:c>
      <x:c r="E25" t="str">
        <x:v>Not Listed</x:v>
      </x:c>
    </x:row>
    <x:row r="26">
      <x:c r="A26" t="str">
        <x:v>COA-0029</x:v>
      </x:c>
      <x:c r="B26" t="str">
        <x:v>MOTS-C</x:v>
      </x:c>
      <x:c r="C26" t="str">
        <x:v>Testides</x:v>
      </x:c>
      <x:c r="D26" t="n">
        <x:v>99.39</x:v>
      </x:c>
      <x:c r="E26" t="str">
        <x:v>Not Listed</x:v>
      </x:c>
    </x:row>
    <x:row r="27">
      <x:c r="A27" t="str">
        <x:v>COA-0030</x:v>
      </x:c>
      <x:c r="B27" t="str">
        <x:v>Retatrutide</x:v>
      </x:c>
      <x:c r="C27" t="str">
        <x:v>Testides</x:v>
      </x:c>
      <x:c r="D27" t="n">
        <x:v>99.49</x:v>
      </x:c>
      <x:c r="E27" t="str">
        <x:v>Not Listed</x:v>
      </x:c>
    </x:row>
    <x:row r="28">
      <x:c r="A28" t="str">
        <x:v>COA-0031</x:v>
      </x:c>
      <x:c r="B28" t="str">
        <x:v>Retatrutide</x:v>
      </x:c>
      <x:c r="C28" t="str">
        <x:v>Testides</x:v>
      </x:c>
      <x:c r="D28" t="n">
        <x:v>99.58</x:v>
      </x:c>
      <x:c r="E28" t="str">
        <x:v>Not Listed</x:v>
      </x:c>
    </x:row>
    <x:row r="29">
      <x:c r="A29" t="str">
        <x:v>COA-0032</x:v>
      </x:c>
      <x:c r="B29" t="str">
        <x:v>Semaglutide</x:v>
      </x:c>
      <x:c r="C29" t="str">
        <x:v>Kovera Labs</x:v>
      </x:c>
      <x:c r="D29" t="n">
        <x:v>99.642</x:v>
      </x:c>
      <x:c r="E29" t="str">
        <x:v>Black</x:v>
      </x:c>
    </x:row>
    <x:row r="30">
      <x:c r="A30" t="str">
        <x:v>COA-0033</x:v>
      </x:c>
      <x:c r="B30" t="str">
        <x:v>Tirzepatide</x:v>
      </x:c>
      <x:c r="C30" t="str">
        <x:v>Kovera Labs</x:v>
      </x:c>
      <x:c r="D30" t="n">
        <x:v>99.6</x:v>
      </x:c>
      <x:c r="E30" t="str">
        <x:v>Blue</x:v>
      </x:c>
    </x:row>
    <x:row r="31">
      <x:c r="A31" t="str">
        <x:v>COA-0034</x:v>
      </x:c>
      <x:c r="B31" t="str">
        <x:v>Tirzepatide</x:v>
      </x:c>
      <x:c r="C31" t="str">
        <x:v>Kovera Labs</x:v>
      </x:c>
      <x:c r="D31" t="n">
        <x:v>99.747</x:v>
      </x:c>
      <x:c r="E31" t="str">
        <x:v>Purple</x:v>
      </x:c>
    </x:row>
  </x:sheetData>
  <x:mergeCells>
    <x:mergeCell ref="A1:D1"/>
    <x:mergeCell ref="A16:D16"/>
    <x:mergeCell ref="A1:H1"/>
  </x:mergeCells>
  <x:pageMargins left="0.7" right="0.7" top="0.75" bottom="0.75" header="0.3" footer="0.3"/>
  <x:drawing xmlns:r="http://schemas.openxmlformats.org/officeDocument/2006/relationships" r:id="Rfc99624863454e9e"/>
</x:worksheet>
</file>

<file path=xl/worksheets/sheet2.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s="198" customFormat="1" ht="27.600000381469727" customHeight="1">
      <x:c r="A1" s="363" t="inlineStr">
        <x:is>
          <x:t xml:space="preserve">COA ID</x:t>
        </x:is>
      </x:c>
      <x:c r="B1" s="363" t="inlineStr">
        <x:is>
          <x:t xml:space="preserve">Compound</x:t>
        </x:is>
      </x:c>
      <x:c r="C1" s="363" t="inlineStr">
        <x:is>
          <x:t xml:space="preserve">Compound Type</x:t>
        </x:is>
      </x:c>
      <x:c r="D1" s="363" t="inlineStr">
        <x:is>
          <x:t xml:space="preserve">Labeled Qty (mg)</x:t>
        </x:is>
      </x:c>
      <x:c r="E1" s="363" t="inlineStr">
        <x:is>
          <x:t xml:space="preserve">Actual Content (mg)</x:t>
        </x:is>
      </x:c>
      <x:c r="F1" s="363" t="inlineStr">
        <x:is>
          <x:t xml:space="preserve">Variance (mg)</x:t>
        </x:is>
      </x:c>
      <x:c r="G1" s="363" t="inlineStr">
        <x:is>
          <x:t xml:space="preserve">Variance %</x:t>
        </x:is>
      </x:c>
      <x:c r="H1" s="363" t="inlineStr">
        <x:is>
          <x:t xml:space="preserve">Purity %</x:t>
        </x:is>
      </x:c>
      <x:c r="I1" s="363" t="inlineStr">
        <x:is>
          <x:t xml:space="preserve">Status</x:t>
        </x:is>
      </x:c>
      <x:c r="J1" s="363" t="inlineStr">
        <x:is>
          <x:t xml:space="preserve">Lab</x:t>
        </x:is>
      </x:c>
      <x:c r="K1" s="363" t="inlineStr">
        <x:is>
          <x:t xml:space="preserve">Lab Match</x:t>
        </x:is>
      </x:c>
      <x:c r="L1" s="363" t="inlineStr">
        <x:is>
          <x:t xml:space="preserve">Test Date</x:t>
        </x:is>
      </x:c>
      <x:c r="M1" s="363" t="inlineStr">
        <x:is>
          <x:t xml:space="preserve">Report/Task #</x:t>
        </x:is>
      </x:c>
      <x:c r="N1" s="363" t="inlineStr">
        <x:is>
          <x:t xml:space="preserve">Verification Key</x:t>
        </x:is>
      </x:c>
      <x:c r="O1" s="363" t="inlineStr">
        <x:is>
          <x:t xml:space="preserve">Batch/Lot</x:t>
        </x:is>
      </x:c>
      <x:c r="P1" s="363" t="inlineStr">
        <x:is>
          <x:t xml:space="preserve">Source Type</x:t>
        </x:is>
      </x:c>
      <x:c r="Q1" s="363" t="inlineStr">
        <x:is>
          <x:t xml:space="preserve">Pass/Fail</x:t>
        </x:is>
      </x:c>
      <x:c r="R1" s="363" t="inlineStr">
        <x:is>
          <x:t xml:space="preserve">Duplicate Handling</x:t>
        </x:is>
      </x:c>
      <x:c r="S1" s="363" t="inlineStr">
        <x:is>
          <x:t xml:space="preserve">Notes</x:t>
        </x:is>
      </x:c>
      <x:c r="T1" s="363" t="inlineStr">
        <x:is>
          <x:t xml:space="preserve">Crimp Color</x:t>
        </x:is>
      </x:c>
      <x:c r="U1" s="363" t="inlineStr">
        <x:is>
          <x:t xml:space="preserve">Cap Color</x:t>
        </x:is>
      </x:c>
      <x:c r="V1" s="363" t="inlineStr">
        <x:is>
          <x:t xml:space="preserve">Closure Notes</x:t>
        </x:is>
      </x:c>
    </x:row>
    <x:row r="2">
      <x:c r="A2" s="361" t="inlineStr">
        <x:is>
          <x:t xml:space="preserve">COA-0001</x:t>
        </x:is>
      </x:c>
      <x:c r="B2" s="361" t="inlineStr">
        <x:is>
          <x:t xml:space="preserve">Retatrutide</x:t>
        </x:is>
      </x:c>
      <x:c r="C2" s="361" t="inlineStr">
        <x:is>
          <x:t xml:space="preserve">GLP-1 / Weight</x:t>
        </x:is>
      </x:c>
      <x:c r="D2" s="361" t="n">
        <x:v>10</x:v>
      </x:c>
      <x:c r="E2" s="361" t="n">
        <x:v>11.8</x:v>
      </x:c>
      <x:c r="F2" s="361" t="n">
        <x:v>1.800000000000001</x:v>
      </x:c>
      <x:c r="G2" s="364" t="n">
        <x:v>0.1800000000000001</x:v>
      </x:c>
      <x:c r="H2" s="362" t="n">
        <x:v>99.51600000000001</x:v>
      </x:c>
      <x:c r="I2" s="365" t="inlineStr">
        <x:is>
          <x:t xml:space="preserve">Overfilled</x:t>
        </x:is>
      </x:c>
      <x:c r="J2" s="361" t="inlineStr">
        <x:is>
          <x:t xml:space="preserve">Janoshik</x:t>
        </x:is>
      </x:c>
      <x:c r="K2" s="361" t="inlineStr">
        <x:is>
          <x:t xml:space="preserve">Confirmed</x:t>
        </x:is>
      </x:c>
      <x:c r="L2" s="366" t="n">
        <x:v>46156</x:v>
      </x:c>
      <x:c r="M2" s="361" t="inlineStr">
        <x:is>
          <x:t xml:space="preserve">#155137</x:t>
        </x:is>
      </x:c>
      <x:c r="N2" s="361" t="inlineStr">
        <x:is>
          <x:t xml:space="preserve">MLPR8T82ANB5</x:t>
        </x:is>
      </x:c>
      <x:c r="O2" s="361" t="inlineStr">
        <x:is>
          <x:t xml:space="preserve">260425</x:t>
        </x:is>
      </x:c>
      <x:c r="P2" s="361" t="inlineStr">
        <x:is>
          <x:t xml:space="preserve">Janoshik verify key</x:t>
        </x:is>
      </x:c>
      <x:c r="Q2" s="367" t="inlineStr">
        <x:is>
          <x:t xml:space="preserve">Pass</x:t>
        </x:is>
      </x:c>
      <x:c r="R2" s="361" t="inlineStr">
        <x:is>
          <x:t xml:space="preserve">Duplicates removed by same lab/report/date/product</x:t>
        </x:is>
      </x:c>
      <x:c r="S2" s="361" t="inlineStr">
        <x:is>
          <x:t xml:space="preserve">RT10 - common GLP-1 blind test; overfilled</x:t>
        </x:is>
      </x:c>
      <x:c r="T2" s="368" t="inlineStr">
        <x:is>
          <x:t xml:space="preserve">Not Listed</x:t>
        </x:is>
      </x:c>
      <x:c r="U2" s="368" t="inlineStr">
        <x:is>
          <x:t xml:space="preserve">Not Listed</x:t>
        </x:is>
      </x:c>
      <x:c r="V2" s="361" t="inlineStr">
        <x:is>
          <x:t xml:space="preserve">Crimp/cap color not listed or visible in the COA/testing record.</x:t>
        </x:is>
      </x:c>
    </x:row>
    <x:row r="3">
      <x:c r="A3" s="361" t="inlineStr">
        <x:is>
          <x:t xml:space="preserve">COA-0002</x:t>
        </x:is>
      </x:c>
      <x:c r="B3" s="361" t="inlineStr">
        <x:is>
          <x:t xml:space="preserve">Retatrutide</x:t>
        </x:is>
      </x:c>
      <x:c r="C3" s="361" t="inlineStr">
        <x:is>
          <x:t xml:space="preserve">GLP-1 / Weight</x:t>
        </x:is>
      </x:c>
      <x:c r="D3" s="361" t="n">
        <x:v>10</x:v>
      </x:c>
      <x:c r="E3" s="361" t="n">
        <x:v>10</x:v>
      </x:c>
      <x:c r="F3" s="361" t="n">
        <x:v>0</x:v>
      </x:c>
      <x:c r="G3" s="364" t="n">
        <x:v>0</x:v>
      </x:c>
      <x:c r="H3" s="362" t="n">
        <x:v>99.369</x:v>
      </x:c>
      <x:c r="I3" s="369" t="inlineStr">
        <x:is>
          <x:t xml:space="preserve">On label</x:t>
        </x:is>
      </x:c>
      <x:c r="J3" s="361" t="inlineStr">
        <x:is>
          <x:t xml:space="preserve">Janoshik</x:t>
        </x:is>
      </x:c>
      <x:c r="K3" s="361" t="inlineStr">
        <x:is>
          <x:t xml:space="preserve">Confirmed</x:t>
        </x:is>
      </x:c>
      <x:c r="L3" s="366" t="n">
        <x:v>46057</x:v>
      </x:c>
      <x:c r="M3" s="361" t="inlineStr">
        <x:is>
          <x:t xml:space="preserve">#105187</x:t>
        </x:is>
      </x:c>
      <x:c r="N3" s="361" t="inlineStr">
        <x:is>
          <x:t xml:space="preserve">3UKCXZPJAWQR</x:t>
        </x:is>
      </x:c>
      <x:c r="O3" s="361" t="inlineStr">
        <x:is>
          <x:t xml:space="preserve">2026.01.26.hva16</x:t>
        </x:is>
      </x:c>
      <x:c r="P3" s="361" t="inlineStr">
        <x:is>
          <x:t xml:space="preserve">Janoshik verify key</x:t>
        </x:is>
      </x:c>
      <x:c r="Q3" s="367" t="inlineStr">
        <x:is>
          <x:t xml:space="preserve">Pass</x:t>
        </x:is>
      </x:c>
      <x:c r="R3" s="361" t="inlineStr">
        <x:is>
          <x:t xml:space="preserve">Duplicates removed by same lab/report/date/product</x:t>
        </x:is>
      </x:c>
      <x:c r="S3" s="361" t="inlineStr">
        <x:is>
          <x:t xml:space="preserve">On label</x:t>
        </x:is>
      </x:c>
      <x:c r="T3" s="368" t="inlineStr">
        <x:is>
          <x:t xml:space="preserve">Not Listed</x:t>
        </x:is>
      </x:c>
      <x:c r="U3" s="368" t="inlineStr">
        <x:is>
          <x:t xml:space="preserve">Not Listed</x:t>
        </x:is>
      </x:c>
      <x:c r="V3" s="361" t="inlineStr">
        <x:is>
          <x:t xml:space="preserve">Crimp/cap color not listed or visible in the COA/testing record.</x:t>
        </x:is>
      </x:c>
    </x:row>
    <x:row r="4">
      <x:c r="A4" s="361" t="inlineStr">
        <x:is>
          <x:t xml:space="preserve">COA-0003</x:t>
        </x:is>
      </x:c>
      <x:c r="B4" s="361" t="inlineStr">
        <x:is>
          <x:t xml:space="preserve">Retatrutide</x:t>
        </x:is>
      </x:c>
      <x:c r="C4" s="361" t="inlineStr">
        <x:is>
          <x:t xml:space="preserve">GLP-1 / Weight</x:t>
        </x:is>
      </x:c>
      <x:c r="D4" s="361" t="n">
        <x:v>5</x:v>
      </x:c>
      <x:c r="E4" s="361" t="n">
        <x:v>6.63</x:v>
      </x:c>
      <x:c r="F4" s="361" t="n">
        <x:v>1.63</x:v>
      </x:c>
      <x:c r="G4" s="364" t="n">
        <x:v>0.326</x:v>
      </x:c>
      <x:c r="H4" s="362" t="n">
        <x:v>99.654</x:v>
      </x:c>
      <x:c r="I4" s="365" t="inlineStr">
        <x:is>
          <x:t xml:space="preserve">Overfilled</x:t>
        </x:is>
      </x:c>
      <x:c r="J4" s="361" t="inlineStr">
        <x:is>
          <x:t xml:space="preserve">Kovera Labs</x:t>
        </x:is>
      </x:c>
      <x:c r="K4" s="361" t="inlineStr">
        <x:is>
          <x:t xml:space="preserve">Confirmed</x:t>
        </x:is>
      </x:c>
      <x:c r="L4" s="366" t="n">
        <x:v>46174</x:v>
      </x:c>
      <x:c r="M4" s="361" t="inlineStr">
        <x:is>
          <x:t xml:space="preserve">Redacted</x:t>
        </x:is>
      </x:c>
      <x:c r="N4" s="361" t="inlineStr">
        <x:is>
          <x:t xml:space="preserve">Redacted</x:t>
        </x:is>
      </x:c>
      <x:c r="O4" s="361" t="inlineStr">
        <x:is>
          <x:t xml:space="preserve">Redacted</x:t>
        </x:is>
      </x:c>
      <x:c r="P4" s="361" t="inlineStr">
        <x:is>
          <x:t xml:space="preserve">Kovera certificate</x:t>
        </x:is>
      </x:c>
      <x:c r="Q4" s="367" t="inlineStr">
        <x:is>
          <x:t xml:space="preserve">Pass</x:t>
        </x:is>
      </x:c>
      <x:c r="R4" s="361" t="inlineStr">
        <x:is>
          <x:t xml:space="preserve">Duplicates removed by same lab/report/date/product</x:t>
        </x:is>
      </x:c>
      <x:c r="S4" s="361" t="inlineStr">
        <x:is>
          <x:t xml:space="preserve">Heavy metals negative; endotoxin pass</x:t>
        </x:is>
      </x:c>
      <x:c r="T4" s="368" t="inlineStr">
        <x:is>
          <x:t xml:space="preserve">Not Listed</x:t>
        </x:is>
      </x:c>
      <x:c r="U4" s="368" t="inlineStr">
        <x:is>
          <x:t xml:space="preserve">Not Listed</x:t>
        </x:is>
      </x:c>
      <x:c r="V4" s="361" t="inlineStr">
        <x:is>
          <x:t xml:space="preserve">Crimp/cap color not listed or visible in the COA/testing record.</x:t>
        </x:is>
      </x:c>
    </x:row>
    <x:row r="5">
      <x:c r="A5" s="361" t="inlineStr">
        <x:is>
          <x:t xml:space="preserve">COA-0004</x:t>
        </x:is>
      </x:c>
      <x:c r="B5" s="361" t="inlineStr">
        <x:is>
          <x:t xml:space="preserve">Retatrutide</x:t>
        </x:is>
      </x:c>
      <x:c r="C5" s="361" t="inlineStr">
        <x:is>
          <x:t xml:space="preserve">GLP-1 / Weight</x:t>
        </x:is>
      </x:c>
      <x:c r="D5" s="361" t="n">
        <x:v>15</x:v>
      </x:c>
      <x:c r="E5" s="361" t="n">
        <x:v>17.93</x:v>
      </x:c>
      <x:c r="F5" s="361" t="n">
        <x:v>2.93</x:v>
      </x:c>
      <x:c r="G5" s="364" t="n">
        <x:v>0.1953333333333333</x:v>
      </x:c>
      <x:c r="H5" s="362" t="n">
        <x:v>99.491</x:v>
      </x:c>
      <x:c r="I5" s="365" t="inlineStr">
        <x:is>
          <x:t xml:space="preserve">Overfilled</x:t>
        </x:is>
      </x:c>
      <x:c r="J5" s="361" t="inlineStr">
        <x:is>
          <x:t xml:space="preserve">Kovera Labs</x:t>
        </x:is>
      </x:c>
      <x:c r="K5" s="361" t="inlineStr">
        <x:is>
          <x:t xml:space="preserve">Confirmed</x:t>
        </x:is>
      </x:c>
      <x:c r="L5" s="366" t="n">
        <x:v>46175</x:v>
      </x:c>
      <x:c r="M5" s="361" t="inlineStr">
        <x:is>
          <x:t xml:space="preserve">Redacted</x:t>
        </x:is>
      </x:c>
      <x:c r="N5" s="361" t="inlineStr">
        <x:is>
          <x:t xml:space="preserve">Redacted</x:t>
        </x:is>
      </x:c>
      <x:c r="O5" s="361" t="inlineStr">
        <x:is>
          <x:t xml:space="preserve">Redacted</x:t>
        </x:is>
      </x:c>
      <x:c r="P5" s="361" t="inlineStr">
        <x:is>
          <x:t xml:space="preserve">Kovera certificate</x:t>
        </x:is>
      </x:c>
      <x:c r="Q5" s="367" t="inlineStr">
        <x:is>
          <x:t xml:space="preserve">Pass</x:t>
        </x:is>
      </x:c>
      <x:c r="R5" s="361" t="inlineStr">
        <x:is>
          <x:t xml:space="preserve">Duplicates removed by same lab/report/date/product</x:t>
        </x:is>
      </x:c>
      <x:c r="S5" s="361" t="inlineStr">
        <x:is>
          <x:t xml:space="preserve">Heavy metals negative; endotoxin pass</x:t>
        </x:is>
      </x:c>
      <x:c r="T5" s="368" t="inlineStr">
        <x:is>
          <x:t xml:space="preserve">Not Listed</x:t>
        </x:is>
      </x:c>
      <x:c r="U5" s="368" t="inlineStr">
        <x:is>
          <x:t xml:space="preserve">Not Listed</x:t>
        </x:is>
      </x:c>
      <x:c r="V5" s="361" t="inlineStr">
        <x:is>
          <x:t xml:space="preserve">Crimp/cap color not listed or visible in the COA/testing record.</x:t>
        </x:is>
      </x:c>
    </x:row>
    <x:row r="6">
      <x:c r="A6" s="361" t="inlineStr">
        <x:is>
          <x:t xml:space="preserve">COA-0005</x:t>
        </x:is>
      </x:c>
      <x:c r="B6" s="361" t="inlineStr">
        <x:is>
          <x:t xml:space="preserve">Retatrutide</x:t>
        </x:is>
      </x:c>
      <x:c r="C6" s="361" t="inlineStr">
        <x:is>
          <x:t xml:space="preserve">GLP-1 / Weight</x:t>
        </x:is>
      </x:c>
      <x:c r="D6" s="361" t="n">
        <x:v>10</x:v>
      </x:c>
      <x:c r="E6" s="361" t="n">
        <x:v>11.77</x:v>
      </x:c>
      <x:c r="F6" s="361" t="n">
        <x:v>1.77</x:v>
      </x:c>
      <x:c r="G6" s="364" t="n">
        <x:v>0.177</x:v>
      </x:c>
      <x:c r="H6" s="362" t="n">
        <x:v>99.96299999999999</x:v>
      </x:c>
      <x:c r="I6" s="365" t="inlineStr">
        <x:is>
          <x:t xml:space="preserve">Overfilled</x:t>
        </x:is>
      </x:c>
      <x:c r="J6" s="361" t="inlineStr">
        <x:is>
          <x:t xml:space="preserve">Kovera Labs</x:t>
        </x:is>
      </x:c>
      <x:c r="K6" s="361" t="inlineStr">
        <x:is>
          <x:t xml:space="preserve">Confirmed</x:t>
        </x:is>
      </x:c>
      <x:c r="L6" s="366" t="n">
        <x:v>46117</x:v>
      </x:c>
      <x:c r="M6" s="361" t="inlineStr">
        <x:is>
          <x:t xml:space="preserve">KVR-2026-A91FF9</x:t>
        </x:is>
      </x:c>
      <x:c r="N6" s="361" t="inlineStr">
        <x:is>
          <x:t xml:space="preserve">N/A</x:t>
        </x:is>
      </x:c>
      <x:c r="O6" s="361" t="inlineStr">
        <x:is>
          <x:t xml:space="preserve">RT10-0331</x:t>
        </x:is>
      </x:c>
      <x:c r="P6" s="361" t="inlineStr">
        <x:is>
          <x:t xml:space="preserve">Kovera certificate</x:t>
        </x:is>
      </x:c>
      <x:c r="Q6" s="367" t="inlineStr">
        <x:is>
          <x:t xml:space="preserve">Pass</x:t>
        </x:is>
      </x:c>
      <x:c r="R6" s="361" t="inlineStr">
        <x:is>
          <x:t xml:space="preserve">Duplicates removed by same lab/report/date/product</x:t>
        </x:is>
      </x:c>
      <x:c r="S6" s="361" t="inlineStr">
        <x:is>
          <x:t xml:space="preserve">Trivial-3R / Retatrutide; batch avg</x:t>
        </x:is>
      </x:c>
      <x:c r="T6" s="368" t="inlineStr">
        <x:is>
          <x:t xml:space="preserve">Not Listed</x:t>
        </x:is>
      </x:c>
      <x:c r="U6" s="368" t="inlineStr">
        <x:is>
          <x:t xml:space="preserve">Not Listed</x:t>
        </x:is>
      </x:c>
      <x:c r="V6" s="361" t="inlineStr">
        <x:is>
          <x:t xml:space="preserve">Crimp/cap color not listed or visible in the COA/testing record.</x:t>
        </x:is>
      </x:c>
    </x:row>
    <x:row r="7">
      <x:c r="A7" s="361" t="inlineStr">
        <x:is>
          <x:t xml:space="preserve">COA-0006</x:t>
        </x:is>
      </x:c>
      <x:c r="B7" s="361" t="inlineStr">
        <x:is>
          <x:t xml:space="preserve">Retatrutide</x:t>
        </x:is>
      </x:c>
      <x:c r="C7" s="361" t="inlineStr">
        <x:is>
          <x:t xml:space="preserve">GLP-1 / Weight</x:t>
        </x:is>
      </x:c>
      <x:c r="D7" s="361" t="n"/>
      <x:c r="E7" s="361" t="n">
        <x:v>22.47</x:v>
      </x:c>
      <x:c r="F7" s="361" t="str">
        <x:f>IF(OR(D7="",E7=""),"",E7-D7)</x:f>
      </x:c>
      <x:c r="G7" s="364" t="str">
        <x:f>IF(OR(D7="",E7=""),"",E7/D7-1)</x:f>
      </x:c>
      <x:c r="H7" s="362" t="n">
        <x:v>99.5</x:v>
      </x:c>
      <x:c r="I7" s="370" t="str">
        <x:f>IF(G7="","Review",IF(G7&gt;0.03,"Overfilled",IF(G7&lt;-0.03,"Underfilled","On label")))</x:f>
        <x:v>Review</x:v>
      </x:c>
      <x:c r="J7" s="361" t="inlineStr">
        <x:is>
          <x:t xml:space="preserve">Aminos Analytics</x:t>
        </x:is>
      </x:c>
      <x:c r="K7" s="361" t="inlineStr">
        <x:is>
          <x:t xml:space="preserve">Confirmed</x:t>
        </x:is>
      </x:c>
      <x:c r="L7" s="366" t="n">
        <x:v>46146</x:v>
      </x:c>
      <x:c r="M7" s="361" t="inlineStr">
        <x:is>
          <x:t xml:space="preserve">Redacted</x:t>
        </x:is>
      </x:c>
      <x:c r="N7" s="361" t="inlineStr">
        <x:is>
          <x:t xml:space="preserve">N/A</x:t>
        </x:is>
      </x:c>
      <x:c r="O7" s="361" t="inlineStr">
        <x:is>
          <x:t xml:space="preserve">Not provided</x:t>
        </x:is>
      </x:c>
      <x:c r="P7" s="361" t="inlineStr">
        <x:is>
          <x:t xml:space="preserve">Aminos certificate</x:t>
        </x:is>
      </x:c>
      <x:c r="Q7" s="367" t="inlineStr">
        <x:is>
          <x:t xml:space="preserve">Pass</x:t>
        </x:is>
      </x:c>
      <x:c r="R7" s="361" t="inlineStr">
        <x:is>
          <x:t xml:space="preserve">Duplicates removed by same lab/report/date/product</x:t>
        </x:is>
      </x:c>
      <x:c r="S7" s="361" t="inlineStr">
        <x:is>
          <x:t xml:space="preserve">Labeled quantity unclear from image</x:t>
        </x:is>
      </x:c>
      <x:c r="T7" s="368" t="inlineStr">
        <x:is>
          <x:t xml:space="preserve">Not Listed</x:t>
        </x:is>
      </x:c>
      <x:c r="U7" s="368" t="inlineStr">
        <x:is>
          <x:t xml:space="preserve">Not Listed</x:t>
        </x:is>
      </x:c>
      <x:c r="V7" s="361" t="inlineStr">
        <x:is>
          <x:t xml:space="preserve">Crimp/cap color not listed or visible in the COA/testing record.</x:t>
        </x:is>
      </x:c>
    </x:row>
    <x:row r="8">
      <x:c r="A8" s="361" t="inlineStr">
        <x:is>
          <x:t xml:space="preserve">COA-0007</x:t>
        </x:is>
      </x:c>
      <x:c r="B8" s="361" t="inlineStr">
        <x:is>
          <x:t xml:space="preserve">Tirzepatide</x:t>
        </x:is>
      </x:c>
      <x:c r="C8" s="361" t="inlineStr">
        <x:is>
          <x:t xml:space="preserve">GLP-1 / Weight</x:t>
        </x:is>
      </x:c>
      <x:c r="D8" s="361" t="n">
        <x:v>20</x:v>
      </x:c>
      <x:c r="E8" s="361" t="n">
        <x:v>26</x:v>
      </x:c>
      <x:c r="F8" s="361" t="n">
        <x:v>6</x:v>
      </x:c>
      <x:c r="G8" s="364" t="n">
        <x:v>0.3</x:v>
      </x:c>
      <x:c r="H8" s="362" t="n">
        <x:v>99.7</x:v>
      </x:c>
      <x:c r="I8" s="365" t="inlineStr">
        <x:is>
          <x:t xml:space="preserve">Overfilled</x:t>
        </x:is>
      </x:c>
      <x:c r="J8" s="361" t="inlineStr">
        <x:is>
          <x:t xml:space="preserve">BT Labs</x:t>
        </x:is>
      </x:c>
      <x:c r="K8" s="361" t="inlineStr">
        <x:is>
          <x:t xml:space="preserve">Confirmed</x:t>
        </x:is>
      </x:c>
      <x:c r="L8" s="366" t="n">
        <x:v>46133</x:v>
      </x:c>
      <x:c r="M8" s="361" t="inlineStr">
        <x:is>
          <x:t xml:space="preserve">IF-824-QSA-TR006-BTL26263-02</x:t>
        </x:is>
      </x:c>
      <x:c r="N8" s="361" t="inlineStr">
        <x:is>
          <x:t xml:space="preserve">N/A</x:t>
        </x:is>
      </x:c>
      <x:c r="O8" s="361" t="inlineStr">
        <x:is>
          <x:t xml:space="preserve">0426royal</x:t>
        </x:is>
      </x:c>
      <x:c r="P8" s="361" t="inlineStr">
        <x:is>
          <x:t xml:space="preserve">BT Labs COA</x:t>
        </x:is>
      </x:c>
      <x:c r="Q8" s="367" t="inlineStr">
        <x:is>
          <x:t xml:space="preserve">Pass</x:t>
        </x:is>
      </x:c>
      <x:c r="R8" s="361" t="inlineStr">
        <x:is>
          <x:t xml:space="preserve">Duplicates removed by same lab/report/date/product</x:t>
        </x:is>
      </x:c>
      <x:c r="S8" s="361" t="inlineStr">
        <x:is>
          <x:t xml:space="preserve">20 mg label; 130.1% potency</x:t>
        </x:is>
      </x:c>
      <x:c r="T8" s="368" t="inlineStr">
        <x:is>
          <x:t xml:space="preserve">Not Listed</x:t>
        </x:is>
      </x:c>
      <x:c r="U8" s="371" t="inlineStr">
        <x:is>
          <x:t xml:space="preserve">Royal Blue</x:t>
        </x:is>
      </x:c>
      <x:c r="V8" s="361" t="inlineStr">
        <x:is>
          <x:t xml:space="preserve">Cap color copied from COA/batch descriptor: 0426royal.</x:t>
        </x:is>
      </x:c>
    </x:row>
    <x:row r="9">
      <x:c r="A9" s="361" t="inlineStr">
        <x:is>
          <x:t xml:space="preserve">COA-0008</x:t>
        </x:is>
      </x:c>
      <x:c r="B9" s="361" t="inlineStr">
        <x:is>
          <x:t xml:space="preserve">Tirzepatide</x:t>
        </x:is>
      </x:c>
      <x:c r="C9" s="361" t="inlineStr">
        <x:is>
          <x:t xml:space="preserve">GLP-1 / Weight</x:t>
        </x:is>
      </x:c>
      <x:c r="D9" s="361" t="n">
        <x:v>40</x:v>
      </x:c>
      <x:c r="E9" s="361" t="n">
        <x:v>46.6</x:v>
      </x:c>
      <x:c r="F9" s="361" t="n">
        <x:v>6.600000000000001</x:v>
      </x:c>
      <x:c r="G9" s="364" t="n">
        <x:v>0.165</x:v>
      </x:c>
      <x:c r="H9" s="362" t="n">
        <x:v>99.7</x:v>
      </x:c>
      <x:c r="I9" s="365" t="inlineStr">
        <x:is>
          <x:t xml:space="preserve">Overfilled</x:t>
        </x:is>
      </x:c>
      <x:c r="J9" s="361" t="inlineStr">
        <x:is>
          <x:t xml:space="preserve">BT Labs</x:t>
        </x:is>
      </x:c>
      <x:c r="K9" s="361" t="inlineStr">
        <x:is>
          <x:t xml:space="preserve">Confirmed</x:t>
        </x:is>
      </x:c>
      <x:c r="L9" s="366" t="n">
        <x:v>46106</x:v>
      </x:c>
      <x:c r="M9" s="361" t="inlineStr">
        <x:is>
          <x:t xml:space="preserve">IF-824-QSA-TR006-BTL2695-01</x:t>
        </x:is>
      </x:c>
      <x:c r="N9" s="361" t="inlineStr">
        <x:is>
          <x:t xml:space="preserve">N/A</x:t>
        </x:is>
      </x:c>
      <x:c r="O9" s="361" t="inlineStr">
        <x:is>
          <x:t xml:space="preserve">0325GrayStorm</x:t>
        </x:is>
      </x:c>
      <x:c r="P9" s="361" t="inlineStr">
        <x:is>
          <x:t xml:space="preserve">BT Labs COA</x:t>
        </x:is>
      </x:c>
      <x:c r="Q9" s="367" t="inlineStr">
        <x:is>
          <x:t xml:space="preserve">Pass</x:t>
        </x:is>
      </x:c>
      <x:c r="R9" s="361" t="inlineStr">
        <x:is>
          <x:t xml:space="preserve">Duplicates removed by same lab/report/date/product</x:t>
        </x:is>
      </x:c>
      <x:c r="S9" s="361" t="inlineStr">
        <x:is>
          <x:t xml:space="preserve">40 mg label; 116.4% potency</x:t>
        </x:is>
      </x:c>
      <x:c r="T9" s="368" t="inlineStr">
        <x:is>
          <x:t xml:space="preserve">Not Listed</x:t>
        </x:is>
      </x:c>
      <x:c r="U9" s="372" t="inlineStr">
        <x:is>
          <x:t xml:space="preserve">Gray</x:t>
        </x:is>
      </x:c>
      <x:c r="V9" s="361" t="inlineStr">
        <x:is>
          <x:t xml:space="preserve">Cap color copied from COA/batch descriptor: 0325GrayStorm.</x:t>
        </x:is>
      </x:c>
    </x:row>
    <x:row r="10">
      <x:c r="A10" s="361" t="inlineStr">
        <x:is>
          <x:t xml:space="preserve">COA-0009</x:t>
        </x:is>
      </x:c>
      <x:c r="B10" s="361" t="inlineStr">
        <x:is>
          <x:t xml:space="preserve">Tirzepatide</x:t>
        </x:is>
      </x:c>
      <x:c r="C10" s="361" t="inlineStr">
        <x:is>
          <x:t xml:space="preserve">GLP-1 / Weight</x:t>
        </x:is>
      </x:c>
      <x:c r="D10" s="361" t="n">
        <x:v>60</x:v>
      </x:c>
      <x:c r="E10" s="361" t="n">
        <x:v>65.09999999999999</x:v>
      </x:c>
      <x:c r="F10" s="361" t="n">
        <x:v>5.099999999999994</x:v>
      </x:c>
      <x:c r="G10" s="364" t="n">
        <x:v>0.08499999999999991</x:v>
      </x:c>
      <x:c r="H10" s="362" t="n">
        <x:v>99.8</x:v>
      </x:c>
      <x:c r="I10" s="365" t="inlineStr">
        <x:is>
          <x:t xml:space="preserve">Overfilled</x:t>
        </x:is>
      </x:c>
      <x:c r="J10" s="361" t="inlineStr">
        <x:is>
          <x:t xml:space="preserve">BT Labs</x:t>
        </x:is>
      </x:c>
      <x:c r="K10" s="361" t="inlineStr">
        <x:is>
          <x:t xml:space="preserve">Confirmed</x:t>
        </x:is>
      </x:c>
      <x:c r="L10" s="366" t="n">
        <x:v>46133</x:v>
      </x:c>
      <x:c r="M10" s="361" t="inlineStr">
        <x:is>
          <x:t xml:space="preserve">IF-824-QSA-TR006-BTL26263-01</x:t>
        </x:is>
      </x:c>
      <x:c r="N10" s="361" t="inlineStr">
        <x:is>
          <x:t xml:space="preserve">N/A</x:t>
        </x:is>
      </x:c>
      <x:c r="O10" s="361" t="inlineStr">
        <x:is>
          <x:t xml:space="preserve">0426goldrush</x:t>
        </x:is>
      </x:c>
      <x:c r="P10" s="361" t="inlineStr">
        <x:is>
          <x:t xml:space="preserve">BT Labs COA</x:t>
        </x:is>
      </x:c>
      <x:c r="Q10" s="367" t="inlineStr">
        <x:is>
          <x:t xml:space="preserve">Pass</x:t>
        </x:is>
      </x:c>
      <x:c r="R10" s="361" t="inlineStr">
        <x:is>
          <x:t xml:space="preserve">Duplicates removed by same lab/report/date/product</x:t>
        </x:is>
      </x:c>
      <x:c r="S10" s="361" t="inlineStr">
        <x:is>
          <x:t xml:space="preserve">60 mg label; 108.5% potency</x:t>
        </x:is>
      </x:c>
      <x:c r="T10" s="368" t="inlineStr">
        <x:is>
          <x:t xml:space="preserve">Not Listed</x:t>
        </x:is>
      </x:c>
      <x:c r="U10" s="373" t="inlineStr">
        <x:is>
          <x:t xml:space="preserve">Gold</x:t>
        </x:is>
      </x:c>
      <x:c r="V10" s="361" t="inlineStr">
        <x:is>
          <x:t xml:space="preserve">Cap color copied from COA/batch descriptor: 0426goldrush.</x:t>
        </x:is>
      </x:c>
    </x:row>
    <x:row r="11">
      <x:c r="A11" s="361" t="inlineStr">
        <x:is>
          <x:t xml:space="preserve">COA-0010</x:t>
        </x:is>
      </x:c>
      <x:c r="B11" s="361" t="inlineStr">
        <x:is>
          <x:t xml:space="preserve">Tirzepatide</x:t>
        </x:is>
      </x:c>
      <x:c r="C11" s="361" t="inlineStr">
        <x:is>
          <x:t xml:space="preserve">GLP-1 / Weight</x:t>
        </x:is>
      </x:c>
      <x:c r="D11" s="361" t="n">
        <x:v>30</x:v>
      </x:c>
      <x:c r="E11" s="361" t="n">
        <x:v>32.5</x:v>
      </x:c>
      <x:c r="F11" s="361" t="n">
        <x:v>2.5</x:v>
      </x:c>
      <x:c r="G11" s="364" t="n">
        <x:v>0.08333333333333333</x:v>
      </x:c>
      <x:c r="H11" s="362" t="n">
        <x:v>99.84</x:v>
      </x:c>
      <x:c r="I11" s="365" t="inlineStr">
        <x:is>
          <x:t xml:space="preserve">Overfilled</x:t>
        </x:is>
      </x:c>
      <x:c r="J11" s="361" t="inlineStr">
        <x:is>
          <x:t xml:space="preserve">Janoshik</x:t>
        </x:is>
      </x:c>
      <x:c r="K11" s="361" t="inlineStr">
        <x:is>
          <x:t xml:space="preserve">Confirmed</x:t>
        </x:is>
      </x:c>
      <x:c r="L11" s="366" t="n">
        <x:v>46059</x:v>
      </x:c>
      <x:c r="M11" s="361" t="inlineStr">
        <x:is>
          <x:t xml:space="preserve">#106031</x:t>
        </x:is>
      </x:c>
      <x:c r="N11" s="361" t="inlineStr">
        <x:is>
          <x:t xml:space="preserve">GH4JPK2IUTGP</x:t>
        </x:is>
      </x:c>
      <x:c r="O11" s="361" t="inlineStr">
        <x:is>
          <x:t xml:space="preserve">2026.01.26.hva16</x:t>
        </x:is>
      </x:c>
      <x:c r="P11" s="361" t="inlineStr">
        <x:is>
          <x:t xml:space="preserve">Janoshik verify key</x:t>
        </x:is>
      </x:c>
      <x:c r="Q11" s="367" t="inlineStr">
        <x:is>
          <x:t xml:space="preserve">Pass</x:t>
        </x:is>
      </x:c>
      <x:c r="R11" s="361" t="inlineStr">
        <x:is>
          <x:t xml:space="preserve">Duplicates removed by same lab/report/date/product</x:t>
        </x:is>
      </x:c>
      <x:c r="S11" s="361" t="inlineStr">
        <x:is>
          <x:t xml:space="preserve">30 mg label</x:t>
        </x:is>
      </x:c>
      <x:c r="T11" s="368" t="inlineStr">
        <x:is>
          <x:t xml:space="preserve">Not Listed</x:t>
        </x:is>
      </x:c>
      <x:c r="U11" s="368" t="inlineStr">
        <x:is>
          <x:t xml:space="preserve">Not Listed</x:t>
        </x:is>
      </x:c>
      <x:c r="V11" s="361" t="inlineStr">
        <x:is>
          <x:t xml:space="preserve">Crimp/cap color not listed or visible in the COA/testing record.</x:t>
        </x:is>
      </x:c>
    </x:row>
    <x:row r="12">
      <x:c r="A12" s="361" t="inlineStr">
        <x:is>
          <x:t xml:space="preserve">COA-0011</x:t>
        </x:is>
      </x:c>
      <x:c r="B12" s="361" t="inlineStr">
        <x:is>
          <x:t xml:space="preserve">Cagrilintide</x:t>
        </x:is>
      </x:c>
      <x:c r="C12" s="361" t="inlineStr">
        <x:is>
          <x:t xml:space="preserve">GLP-1 / Weight</x:t>
        </x:is>
      </x:c>
      <x:c r="D12" s="361" t="n">
        <x:v>10</x:v>
      </x:c>
      <x:c r="E12" s="361" t="n">
        <x:v>10.47</x:v>
      </x:c>
      <x:c r="F12" s="361" t="n">
        <x:v>0.4700000000000006</x:v>
      </x:c>
      <x:c r="G12" s="364" t="n">
        <x:v>0.04700000000000006</x:v>
      </x:c>
      <x:c r="H12" s="362" t="n">
        <x:v>99.04000000000001</x:v>
      </x:c>
      <x:c r="I12" s="369" t="inlineStr">
        <x:is>
          <x:t xml:space="preserve">On label</x:t>
        </x:is>
      </x:c>
      <x:c r="J12" s="361" t="inlineStr">
        <x:is>
          <x:t xml:space="preserve">Janoshik</x:t>
        </x:is>
      </x:c>
      <x:c r="K12" s="361" t="inlineStr">
        <x:is>
          <x:t xml:space="preserve">Confirmed</x:t>
        </x:is>
      </x:c>
      <x:c r="L12" s="366" t="n">
        <x:v>46155</x:v>
      </x:c>
      <x:c r="M12" s="361" t="inlineStr">
        <x:is>
          <x:t xml:space="preserve">#155157</x:t>
        </x:is>
      </x:c>
      <x:c r="N12" s="361" t="inlineStr">
        <x:is>
          <x:t xml:space="preserve">YEM8I1Y94JVT</x:t>
        </x:is>
      </x:c>
      <x:c r="O12" s="361" t="inlineStr">
        <x:is>
          <x:t xml:space="preserve">260425</x:t>
        </x:is>
      </x:c>
      <x:c r="P12" s="361" t="inlineStr">
        <x:is>
          <x:t xml:space="preserve">Janoshik verify key</x:t>
        </x:is>
      </x:c>
      <x:c r="Q12" s="367" t="inlineStr">
        <x:is>
          <x:t xml:space="preserve">Pass</x:t>
        </x:is>
      </x:c>
      <x:c r="R12" s="361" t="inlineStr">
        <x:is>
          <x:t xml:space="preserve">Duplicates removed by same lab/report/date/product</x:t>
        </x:is>
      </x:c>
      <x:c r="S12" s="361" t="inlineStr">
        <x:is>
          <x:t xml:space="preserve">Overfilled</x:t>
        </x:is>
      </x:c>
      <x:c r="T12" s="368" t="inlineStr">
        <x:is>
          <x:t xml:space="preserve">Not Listed</x:t>
        </x:is>
      </x:c>
      <x:c r="U12" s="368" t="inlineStr">
        <x:is>
          <x:t xml:space="preserve">Not Listed</x:t>
        </x:is>
      </x:c>
      <x:c r="V12" s="361" t="inlineStr">
        <x:is>
          <x:t xml:space="preserve">Crimp/cap color not listed or visible in the COA/testing record.</x:t>
        </x:is>
      </x:c>
    </x:row>
    <x:row r="13">
      <x:c r="A13" s="361" t="inlineStr">
        <x:is>
          <x:t xml:space="preserve">COA-0012</x:t>
        </x:is>
      </x:c>
      <x:c r="B13" s="361" t="inlineStr">
        <x:is>
          <x:t xml:space="preserve">AOD-9604</x:t>
        </x:is>
      </x:c>
      <x:c r="C13" s="361" t="inlineStr">
        <x:is>
          <x:t xml:space="preserve">Metabolic / Fat Loss</x:t>
        </x:is>
      </x:c>
      <x:c r="D13" s="361" t="n">
        <x:v>5</x:v>
      </x:c>
      <x:c r="E13" s="361" t="n">
        <x:v>5.95</x:v>
      </x:c>
      <x:c r="F13" s="361" t="n">
        <x:v>0.9500000000000002</x:v>
      </x:c>
      <x:c r="G13" s="364" t="n">
        <x:v>0.19</x:v>
      </x:c>
      <x:c r="H13" s="362" t="n">
        <x:v>99.883</x:v>
      </x:c>
      <x:c r="I13" s="365" t="inlineStr">
        <x:is>
          <x:t xml:space="preserve">Overfilled</x:t>
        </x:is>
      </x:c>
      <x:c r="J13" s="361" t="inlineStr">
        <x:is>
          <x:t xml:space="preserve">Janoshik</x:t>
        </x:is>
      </x:c>
      <x:c r="K13" s="361" t="inlineStr">
        <x:is>
          <x:t xml:space="preserve">Confirmed</x:t>
        </x:is>
      </x:c>
      <x:c r="L13" s="366" t="n">
        <x:v>46156</x:v>
      </x:c>
      <x:c r="M13" s="361" t="inlineStr">
        <x:is>
          <x:t xml:space="preserve">#155207</x:t>
        </x:is>
      </x:c>
      <x:c r="N13" s="361" t="inlineStr">
        <x:is>
          <x:t xml:space="preserve">R61XS7CAKNZS</x:t>
        </x:is>
      </x:c>
      <x:c r="O13" s="361" t="inlineStr">
        <x:is>
          <x:t xml:space="preserve">260425</x:t>
        </x:is>
      </x:c>
      <x:c r="P13" s="361" t="inlineStr">
        <x:is>
          <x:t xml:space="preserve">Janoshik verify key</x:t>
        </x:is>
      </x:c>
      <x:c r="Q13" s="367" t="inlineStr">
        <x:is>
          <x:t xml:space="preserve">Pass</x:t>
        </x:is>
      </x:c>
      <x:c r="R13" s="361" t="inlineStr">
        <x:is>
          <x:t xml:space="preserve">Duplicates removed by same lab/report/date/product</x:t>
        </x:is>
      </x:c>
      <x:c r="S13" s="361" t="inlineStr">
        <x:is>
          <x:t xml:space="preserve">rHGH fragment / AOD-9604</x:t>
        </x:is>
      </x:c>
      <x:c r="T13" s="368" t="inlineStr">
        <x:is>
          <x:t xml:space="preserve">Not Listed</x:t>
        </x:is>
      </x:c>
      <x:c r="U13" s="368" t="inlineStr">
        <x:is>
          <x:t xml:space="preserve">Not Listed</x:t>
        </x:is>
      </x:c>
      <x:c r="V13" s="361" t="inlineStr">
        <x:is>
          <x:t xml:space="preserve">Crimp/cap color not listed or visible in the COA/testing record.</x:t>
        </x:is>
      </x:c>
    </x:row>
    <x:row r="14">
      <x:c r="A14" s="361" t="inlineStr">
        <x:is>
          <x:t xml:space="preserve">COA-0013</x:t>
        </x:is>
      </x:c>
      <x:c r="B14" s="361" t="inlineStr">
        <x:is>
          <x:t xml:space="preserve">MOTS-C</x:t>
        </x:is>
      </x:c>
      <x:c r="C14" s="361" t="inlineStr">
        <x:is>
          <x:t xml:space="preserve">Metabolic / Mito</x:t>
        </x:is>
      </x:c>
      <x:c r="D14" s="361" t="n">
        <x:v>10</x:v>
      </x:c>
      <x:c r="E14" s="361" t="n">
        <x:v>10.58</x:v>
      </x:c>
      <x:c r="F14" s="361" t="n">
        <x:v>0.5800000000000001</x:v>
      </x:c>
      <x:c r="G14" s="364" t="n">
        <x:v>0.05800000000000001</x:v>
      </x:c>
      <x:c r="H14" s="362" t="n">
        <x:v>99.84699999999999</x:v>
      </x:c>
      <x:c r="I14" s="365" t="inlineStr">
        <x:is>
          <x:t xml:space="preserve">Overfilled</x:t>
        </x:is>
      </x:c>
      <x:c r="J14" s="361" t="inlineStr">
        <x:is>
          <x:t xml:space="preserve">Janoshik</x:t>
        </x:is>
      </x:c>
      <x:c r="K14" s="361" t="inlineStr">
        <x:is>
          <x:t xml:space="preserve">Confirmed</x:t>
        </x:is>
      </x:c>
      <x:c r="L14" s="366" t="n">
        <x:v>46057</x:v>
      </x:c>
      <x:c r="M14" s="361" t="inlineStr">
        <x:is>
          <x:t xml:space="preserve">#105204</x:t>
        </x:is>
      </x:c>
      <x:c r="N14" s="361" t="inlineStr">
        <x:is>
          <x:t xml:space="preserve">PZAGRTQCMKEN</x:t>
        </x:is>
      </x:c>
      <x:c r="O14" s="361" t="inlineStr">
        <x:is>
          <x:t xml:space="preserve">2026.01.26.hva16</x:t>
        </x:is>
      </x:c>
      <x:c r="P14" s="361" t="inlineStr">
        <x:is>
          <x:t xml:space="preserve">Janoshik verify key</x:t>
        </x:is>
      </x:c>
      <x:c r="Q14" s="367" t="inlineStr">
        <x:is>
          <x:t xml:space="preserve">Pass</x:t>
        </x:is>
      </x:c>
      <x:c r="R14" s="361" t="inlineStr">
        <x:is>
          <x:t xml:space="preserve">Duplicates removed by same lab/report/date/product</x:t>
        </x:is>
      </x:c>
      <x:c r="S14" s="361" t="inlineStr">
        <x:is>
          <x:t xml:space="preserve">10 mg label</x:t>
        </x:is>
      </x:c>
      <x:c r="T14" s="368" t="inlineStr">
        <x:is>
          <x:t xml:space="preserve">Not Listed</x:t>
        </x:is>
      </x:c>
      <x:c r="U14" s="368" t="inlineStr">
        <x:is>
          <x:t xml:space="preserve">Not Listed</x:t>
        </x:is>
      </x:c>
      <x:c r="V14" s="361" t="inlineStr">
        <x:is>
          <x:t xml:space="preserve">Crimp/cap color not listed or visible in the COA/testing record.</x:t>
        </x:is>
      </x:c>
    </x:row>
    <x:row r="15">
      <x:c r="A15" s="361" t="inlineStr">
        <x:is>
          <x:t xml:space="preserve">COA-0014</x:t>
        </x:is>
      </x:c>
      <x:c r="B15" s="361" t="inlineStr">
        <x:is>
          <x:t xml:space="preserve">MOTS-C</x:t>
        </x:is>
      </x:c>
      <x:c r="C15" s="361" t="inlineStr">
        <x:is>
          <x:t xml:space="preserve">Metabolic / Mito</x:t>
        </x:is>
      </x:c>
      <x:c r="D15" s="361" t="n">
        <x:v>10</x:v>
      </x:c>
      <x:c r="E15" s="361" t="n">
        <x:v>11.17</x:v>
      </x:c>
      <x:c r="F15" s="361" t="n">
        <x:v>1.17</x:v>
      </x:c>
      <x:c r="G15" s="364" t="n">
        <x:v>0.117</x:v>
      </x:c>
      <x:c r="H15" s="362" t="n">
        <x:v>99.05500000000001</x:v>
      </x:c>
      <x:c r="I15" s="365" t="inlineStr">
        <x:is>
          <x:t xml:space="preserve">Overfilled</x:t>
        </x:is>
      </x:c>
      <x:c r="J15" s="361" t="inlineStr">
        <x:is>
          <x:t xml:space="preserve">Janoshik</x:t>
        </x:is>
      </x:c>
      <x:c r="K15" s="361" t="inlineStr">
        <x:is>
          <x:t xml:space="preserve">Confirmed</x:t>
        </x:is>
      </x:c>
      <x:c r="L15" s="366" t="n">
        <x:v>46155</x:v>
      </x:c>
      <x:c r="M15" s="361" t="inlineStr">
        <x:is>
          <x:t xml:space="preserve">#155147</x:t>
        </x:is>
      </x:c>
      <x:c r="N15" s="361" t="inlineStr">
        <x:is>
          <x:t xml:space="preserve">UVM6E4JHM32H</x:t>
        </x:is>
      </x:c>
      <x:c r="O15" s="361" t="inlineStr">
        <x:is>
          <x:t xml:space="preserve">260425</x:t>
        </x:is>
      </x:c>
      <x:c r="P15" s="361" t="inlineStr">
        <x:is>
          <x:t xml:space="preserve">Janoshik verify key</x:t>
        </x:is>
      </x:c>
      <x:c r="Q15" s="367" t="inlineStr">
        <x:is>
          <x:t xml:space="preserve">Pass</x:t>
        </x:is>
      </x:c>
      <x:c r="R15" s="361" t="inlineStr">
        <x:is>
          <x:t xml:space="preserve">Duplicates removed by same lab/report/date/product</x:t>
        </x:is>
      </x:c>
      <x:c r="S15" s="361" t="inlineStr">
        <x:is>
          <x:t xml:space="preserve">MS10 / MOTS-C</x:t>
        </x:is>
      </x:c>
      <x:c r="T15" s="368" t="inlineStr">
        <x:is>
          <x:t xml:space="preserve">Not Listed</x:t>
        </x:is>
      </x:c>
      <x:c r="U15" s="368" t="inlineStr">
        <x:is>
          <x:t xml:space="preserve">Not Listed</x:t>
        </x:is>
      </x:c>
      <x:c r="V15" s="361" t="inlineStr">
        <x:is>
          <x:t xml:space="preserve">Crimp/cap color not listed or visible in the COA/testing record.</x:t>
        </x:is>
      </x:c>
    </x:row>
    <x:row r="16">
      <x:c r="A16" s="361" t="inlineStr">
        <x:is>
          <x:t xml:space="preserve">COA-0015</x:t>
        </x:is>
      </x:c>
      <x:c r="B16" s="361" t="inlineStr">
        <x:is>
          <x:t xml:space="preserve">MOTS-C</x:t>
        </x:is>
      </x:c>
      <x:c r="C16" s="361" t="inlineStr">
        <x:is>
          <x:t xml:space="preserve">Metabolic / Mito</x:t>
        </x:is>
      </x:c>
      <x:c r="D16" s="361" t="n">
        <x:v>40</x:v>
      </x:c>
      <x:c r="E16" s="361" t="n">
        <x:v>38.96</x:v>
      </x:c>
      <x:c r="F16" s="361" t="n">
        <x:v>-1.039999999999999</x:v>
      </x:c>
      <x:c r="G16" s="364" t="n">
        <x:v>-0.02599999999999998</x:v>
      </x:c>
      <x:c r="H16" s="362" t="n">
        <x:v>99.813</x:v>
      </x:c>
      <x:c r="I16" s="369" t="inlineStr">
        <x:is>
          <x:t xml:space="preserve">On label</x:t>
        </x:is>
      </x:c>
      <x:c r="J16" s="361" t="inlineStr">
        <x:is>
          <x:t xml:space="preserve">Janoshik</x:t>
        </x:is>
      </x:c>
      <x:c r="K16" s="361" t="inlineStr">
        <x:is>
          <x:t xml:space="preserve">Confirmed</x:t>
        </x:is>
      </x:c>
      <x:c r="L16" s="366" t="n">
        <x:v>46057</x:v>
      </x:c>
      <x:c r="M16" s="361" t="inlineStr">
        <x:is>
          <x:t xml:space="preserve">#105209</x:t>
        </x:is>
      </x:c>
      <x:c r="N16" s="361" t="inlineStr">
        <x:is>
          <x:t xml:space="preserve">EZVSKIKKLCI2</x:t>
        </x:is>
      </x:c>
      <x:c r="O16" s="361" t="inlineStr">
        <x:is>
          <x:t xml:space="preserve">2026.01.26.hva16</x:t>
        </x:is>
      </x:c>
      <x:c r="P16" s="361" t="inlineStr">
        <x:is>
          <x:t xml:space="preserve">Janoshik verify key</x:t>
        </x:is>
      </x:c>
      <x:c r="Q16" s="367" t="inlineStr">
        <x:is>
          <x:t xml:space="preserve">Pass</x:t>
        </x:is>
      </x:c>
      <x:c r="R16" s="361" t="inlineStr">
        <x:is>
          <x:t xml:space="preserve">Duplicates removed by same lab/report/date/product</x:t>
        </x:is>
      </x:c>
      <x:c r="S16" s="361" t="inlineStr">
        <x:is>
          <x:t xml:space="preserve">40 mg label</x:t>
        </x:is>
      </x:c>
      <x:c r="T16" s="368" t="inlineStr">
        <x:is>
          <x:t xml:space="preserve">Not Listed</x:t>
        </x:is>
      </x:c>
      <x:c r="U16" s="368" t="inlineStr">
        <x:is>
          <x:t xml:space="preserve">Not Listed</x:t>
        </x:is>
      </x:c>
      <x:c r="V16" s="361" t="inlineStr">
        <x:is>
          <x:t xml:space="preserve">Crimp/cap color not listed or visible in the COA/testing record.</x:t>
        </x:is>
      </x:c>
    </x:row>
    <x:row r="17">
      <x:c r="A17" s="361" t="inlineStr">
        <x:is>
          <x:t xml:space="preserve">COA-0016</x:t>
        </x:is>
      </x:c>
      <x:c r="B17" s="361" t="inlineStr">
        <x:is>
          <x:t xml:space="preserve">TB-500</x:t>
        </x:is>
      </x:c>
      <x:c r="C17" s="361" t="inlineStr">
        <x:is>
          <x:t xml:space="preserve">Healing / Recovery</x:t>
        </x:is>
      </x:c>
      <x:c r="D17" s="361" t="n">
        <x:v>10</x:v>
      </x:c>
      <x:c r="E17" s="361" t="n">
        <x:v>11.38</x:v>
      </x:c>
      <x:c r="F17" s="361" t="n">
        <x:v>1.380000000000001</x:v>
      </x:c>
      <x:c r="G17" s="364" t="n">
        <x:v>0.1380000000000001</x:v>
      </x:c>
      <x:c r="H17" s="362" t="n">
        <x:v>99.08499999999999</x:v>
      </x:c>
      <x:c r="I17" s="365" t="inlineStr">
        <x:is>
          <x:t xml:space="preserve">Overfilled</x:t>
        </x:is>
      </x:c>
      <x:c r="J17" s="361" t="inlineStr">
        <x:is>
          <x:t xml:space="preserve">Janoshik</x:t>
        </x:is>
      </x:c>
      <x:c r="K17" s="361" t="inlineStr">
        <x:is>
          <x:t xml:space="preserve">Confirmed</x:t>
        </x:is>
      </x:c>
      <x:c r="L17" s="366" t="n">
        <x:v>46155</x:v>
      </x:c>
      <x:c r="M17" s="361" t="inlineStr">
        <x:is>
          <x:t xml:space="preserve">#155187</x:t>
        </x:is>
      </x:c>
      <x:c r="N17" s="361" t="inlineStr">
        <x:is>
          <x:t xml:space="preserve">C4ZL757CFGFN</x:t>
        </x:is>
      </x:c>
      <x:c r="O17" s="361" t="inlineStr">
        <x:is>
          <x:t xml:space="preserve">260425</x:t>
        </x:is>
      </x:c>
      <x:c r="P17" s="361" t="inlineStr">
        <x:is>
          <x:t xml:space="preserve">Janoshik verify key</x:t>
        </x:is>
      </x:c>
      <x:c r="Q17" s="367" t="inlineStr">
        <x:is>
          <x:t xml:space="preserve">Pass</x:t>
        </x:is>
      </x:c>
      <x:c r="R17" s="361" t="inlineStr">
        <x:is>
          <x:t xml:space="preserve">Duplicates removed by same lab/report/date/product</x:t>
        </x:is>
      </x:c>
      <x:c r="S17" s="361" t="inlineStr">
        <x:is>
          <x:t xml:space="preserve">TB-500 / TB4</x:t>
        </x:is>
      </x:c>
      <x:c r="T17" s="368" t="inlineStr">
        <x:is>
          <x:t xml:space="preserve">Not Listed</x:t>
        </x:is>
      </x:c>
      <x:c r="U17" s="368" t="inlineStr">
        <x:is>
          <x:t xml:space="preserve">Not Listed</x:t>
        </x:is>
      </x:c>
      <x:c r="V17" s="361" t="inlineStr">
        <x:is>
          <x:t xml:space="preserve">Crimp/cap color not listed or visible in the COA/testing record.</x:t>
        </x:is>
      </x:c>
    </x:row>
    <x:row r="18">
      <x:c r="A18" s="361" t="inlineStr">
        <x:is>
          <x:t xml:space="preserve">COA-0017</x:t>
        </x:is>
      </x:c>
      <x:c r="B18" s="361" t="inlineStr">
        <x:is>
          <x:t xml:space="preserve">BPC-157</x:t>
        </x:is>
      </x:c>
      <x:c r="C18" s="361" t="inlineStr">
        <x:is>
          <x:t xml:space="preserve">Healing / Recovery</x:t>
        </x:is>
      </x:c>
      <x:c r="D18" s="361" t="n">
        <x:v>5</x:v>
      </x:c>
      <x:c r="E18" s="361" t="n">
        <x:v>5.54</x:v>
      </x:c>
      <x:c r="F18" s="361" t="n">
        <x:v>0.54</x:v>
      </x:c>
      <x:c r="G18" s="364" t="n">
        <x:v>0.108</x:v>
      </x:c>
      <x:c r="H18" s="362" t="n"/>
      <x:c r="I18" s="365" t="inlineStr">
        <x:is>
          <x:t xml:space="preserve">Overfilled</x:t>
        </x:is>
      </x:c>
      <x:c r="J18" s="361" t="inlineStr">
        <x:is>
          <x:t xml:space="preserve">Janoshik</x:t>
        </x:is>
      </x:c>
      <x:c r="K18" s="361" t="inlineStr">
        <x:is>
          <x:t xml:space="preserve">Confirmed</x:t>
        </x:is>
      </x:c>
      <x:c r="L18" s="366" t="n">
        <x:v>46057</x:v>
      </x:c>
      <x:c r="M18" s="361" t="inlineStr">
        <x:is>
          <x:t xml:space="preserve">#105138</x:t>
        </x:is>
      </x:c>
      <x:c r="N18" s="361" t="inlineStr">
        <x:is>
          <x:t xml:space="preserve">LIE4Z88FYGXC</x:t>
        </x:is>
      </x:c>
      <x:c r="O18" s="361" t="inlineStr">
        <x:is>
          <x:t xml:space="preserve">2026.01.26.hva16</x:t>
        </x:is>
      </x:c>
      <x:c r="P18" s="361" t="inlineStr">
        <x:is>
          <x:t xml:space="preserve">Janoshik verify key</x:t>
        </x:is>
      </x:c>
      <x:c r="Q18" s="367" t="inlineStr">
        <x:is>
          <x:t xml:space="preserve">Pass</x:t>
        </x:is>
      </x:c>
      <x:c r="R18" s="361" t="inlineStr">
        <x:is>
          <x:t xml:space="preserve">Duplicates removed by same lab/report/date/product</x:t>
        </x:is>
      </x:c>
      <x:c r="S18" s="361" t="inlineStr">
        <x:is>
          <x:t xml:space="preserve">Blend report BPC5+TB5</x:t>
        </x:is>
      </x:c>
      <x:c r="T18" s="368" t="inlineStr">
        <x:is>
          <x:t xml:space="preserve">Not Listed</x:t>
        </x:is>
      </x:c>
      <x:c r="U18" s="368" t="inlineStr">
        <x:is>
          <x:t xml:space="preserve">Not Listed</x:t>
        </x:is>
      </x:c>
      <x:c r="V18" s="361" t="inlineStr">
        <x:is>
          <x:t xml:space="preserve">Crimp/cap color not listed or visible in the COA/testing record.</x:t>
        </x:is>
      </x:c>
    </x:row>
    <x:row r="19">
      <x:c r="A19" s="361" t="inlineStr">
        <x:is>
          <x:t xml:space="preserve">COA-0018</x:t>
        </x:is>
      </x:c>
      <x:c r="B19" s="361" t="inlineStr">
        <x:is>
          <x:t xml:space="preserve">TB-500</x:t>
        </x:is>
      </x:c>
      <x:c r="C19" s="361" t="inlineStr">
        <x:is>
          <x:t xml:space="preserve">Healing / Recovery</x:t>
        </x:is>
      </x:c>
      <x:c r="D19" s="361" t="n">
        <x:v>5</x:v>
      </x:c>
      <x:c r="E19" s="361" t="n">
        <x:v>5.43</x:v>
      </x:c>
      <x:c r="F19" s="361" t="n">
        <x:v>0.4299999999999997</x:v>
      </x:c>
      <x:c r="G19" s="364" t="n">
        <x:v>0.08599999999999994</x:v>
      </x:c>
      <x:c r="H19" s="362" t="n"/>
      <x:c r="I19" s="369" t="inlineStr">
        <x:is>
          <x:t xml:space="preserve">On label</x:t>
        </x:is>
      </x:c>
      <x:c r="J19" s="361" t="inlineStr">
        <x:is>
          <x:t xml:space="preserve">Janoshik</x:t>
        </x:is>
      </x:c>
      <x:c r="K19" s="361" t="inlineStr">
        <x:is>
          <x:t xml:space="preserve">Confirmed</x:t>
        </x:is>
      </x:c>
      <x:c r="L19" s="366" t="n">
        <x:v>46057</x:v>
      </x:c>
      <x:c r="M19" s="361" t="inlineStr">
        <x:is>
          <x:t xml:space="preserve">#105138</x:t>
        </x:is>
      </x:c>
      <x:c r="N19" s="361" t="inlineStr">
        <x:is>
          <x:t xml:space="preserve">LIE4Z88FYGXC</x:t>
        </x:is>
      </x:c>
      <x:c r="O19" s="361" t="inlineStr">
        <x:is>
          <x:t xml:space="preserve">2026.01.26.hva16</x:t>
        </x:is>
      </x:c>
      <x:c r="P19" s="361" t="inlineStr">
        <x:is>
          <x:t xml:space="preserve">Janoshik verify key</x:t>
        </x:is>
      </x:c>
      <x:c r="Q19" s="367" t="inlineStr">
        <x:is>
          <x:t xml:space="preserve">Pass</x:t>
        </x:is>
      </x:c>
      <x:c r="R19" s="361" t="inlineStr">
        <x:is>
          <x:t xml:space="preserve">Duplicates removed by same lab/report/date/product</x:t>
        </x:is>
      </x:c>
      <x:c r="S19" s="361" t="inlineStr">
        <x:is>
          <x:t xml:space="preserve">Blend report BPC5+TB5</x:t>
        </x:is>
      </x:c>
      <x:c r="T19" s="368" t="inlineStr">
        <x:is>
          <x:t xml:space="preserve">Not Listed</x:t>
        </x:is>
      </x:c>
      <x:c r="U19" s="368" t="inlineStr">
        <x:is>
          <x:t xml:space="preserve">Not Listed</x:t>
        </x:is>
      </x:c>
      <x:c r="V19" s="361" t="inlineStr">
        <x:is>
          <x:t xml:space="preserve">Crimp/cap color not listed or visible in the COA/testing record.</x:t>
        </x:is>
      </x:c>
    </x:row>
    <x:row r="20">
      <x:c r="A20" s="361" t="inlineStr">
        <x:is>
          <x:t xml:space="preserve">COA-0019</x:t>
        </x:is>
      </x:c>
      <x:c r="B20" s="361" t="inlineStr">
        <x:is>
          <x:t xml:space="preserve">SS-31</x:t>
        </x:is>
      </x:c>
      <x:c r="C20" s="361" t="inlineStr">
        <x:is>
          <x:t xml:space="preserve">Metabolic / Mito</x:t>
        </x:is>
      </x:c>
      <x:c r="D20" s="361" t="n">
        <x:v>10</x:v>
      </x:c>
      <x:c r="E20" s="361" t="n">
        <x:v>8.880000000000001</x:v>
      </x:c>
      <x:c r="F20" s="361" t="n">
        <x:v>-1.119999999999999</x:v>
      </x:c>
      <x:c r="G20" s="364" t="n">
        <x:v>-0.1119999999999999</x:v>
      </x:c>
      <x:c r="H20" s="362" t="n">
        <x:v>99.95</x:v>
      </x:c>
      <x:c r="I20" s="374" t="inlineStr">
        <x:is>
          <x:t xml:space="preserve">Underfilled</x:t>
        </x:is>
      </x:c>
      <x:c r="J20" s="361" t="inlineStr">
        <x:is>
          <x:t xml:space="preserve">Janoshik</x:t>
        </x:is>
      </x:c>
      <x:c r="K20" s="361" t="inlineStr">
        <x:is>
          <x:t xml:space="preserve">Confirmed</x:t>
        </x:is>
      </x:c>
      <x:c r="L20" s="366" t="n">
        <x:v>46155</x:v>
      </x:c>
      <x:c r="M20" s="361" t="inlineStr">
        <x:is>
          <x:t xml:space="preserve">#155177</x:t>
        </x:is>
      </x:c>
      <x:c r="N20" s="361" t="inlineStr">
        <x:is>
          <x:t xml:space="preserve">ZBCG537ZYEN9</x:t>
        </x:is>
      </x:c>
      <x:c r="O20" s="361" t="inlineStr">
        <x:is>
          <x:t xml:space="preserve">260425</x:t>
        </x:is>
      </x:c>
      <x:c r="P20" s="361" t="inlineStr">
        <x:is>
          <x:t xml:space="preserve">Janoshik verify key</x:t>
        </x:is>
      </x:c>
      <x:c r="Q20" s="367" t="inlineStr">
        <x:is>
          <x:t xml:space="preserve">Pass</x:t>
        </x:is>
      </x:c>
      <x:c r="R20" s="361" t="inlineStr">
        <x:is>
          <x:t xml:space="preserve">Duplicates removed by same lab/report/date/product</x:t>
        </x:is>
      </x:c>
      <x:c r="S20" s="361" t="inlineStr">
        <x:is>
          <x:t xml:space="preserve">Elamipretide; tested twice</x:t>
        </x:is>
      </x:c>
      <x:c r="T20" s="368" t="inlineStr">
        <x:is>
          <x:t xml:space="preserve">Not Listed</x:t>
        </x:is>
      </x:c>
      <x:c r="U20" s="368" t="inlineStr">
        <x:is>
          <x:t xml:space="preserve">Not Listed</x:t>
        </x:is>
      </x:c>
      <x:c r="V20" s="361" t="inlineStr">
        <x:is>
          <x:t xml:space="preserve">Crimp/cap color not listed or visible in the COA/testing record.</x:t>
        </x:is>
      </x:c>
    </x:row>
    <x:row r="21">
      <x:c r="A21" s="361" t="inlineStr">
        <x:is>
          <x:t xml:space="preserve">COA-0020</x:t>
        </x:is>
      </x:c>
      <x:c r="B21" s="361" t="inlineStr">
        <x:is>
          <x:t xml:space="preserve">KPV</x:t>
        </x:is>
      </x:c>
      <x:c r="C21" s="361" t="inlineStr">
        <x:is>
          <x:t xml:space="preserve">Other</x:t>
        </x:is>
      </x:c>
      <x:c r="D21" s="361" t="n">
        <x:v>10</x:v>
      </x:c>
      <x:c r="E21" s="361" t="n">
        <x:v>12.19</x:v>
      </x:c>
      <x:c r="F21" s="361" t="n">
        <x:v>2.19</x:v>
      </x:c>
      <x:c r="G21" s="364" t="n">
        <x:v>0.2189999999999999</x:v>
      </x:c>
      <x:c r="H21" s="362" t="n">
        <x:v>99.589</x:v>
      </x:c>
      <x:c r="I21" s="365" t="inlineStr">
        <x:is>
          <x:t xml:space="preserve">Overfilled</x:t>
        </x:is>
      </x:c>
      <x:c r="J21" s="361" t="inlineStr">
        <x:is>
          <x:t xml:space="preserve">Janoshik</x:t>
        </x:is>
      </x:c>
      <x:c r="K21" s="361" t="inlineStr">
        <x:is>
          <x:t xml:space="preserve">Confirmed</x:t>
        </x:is>
      </x:c>
      <x:c r="L21" s="366" t="n">
        <x:v>46057</x:v>
      </x:c>
      <x:c r="M21" s="361" t="inlineStr">
        <x:is>
          <x:t xml:space="preserve">#105219</x:t>
        </x:is>
      </x:c>
      <x:c r="N21" s="361" t="inlineStr">
        <x:is>
          <x:t xml:space="preserve">ZR7I3B74I9KC</x:t>
        </x:is>
      </x:c>
      <x:c r="O21" s="361" t="inlineStr">
        <x:is>
          <x:t xml:space="preserve">2026.01.26.hva16</x:t>
        </x:is>
      </x:c>
      <x:c r="P21" s="361" t="inlineStr">
        <x:is>
          <x:t xml:space="preserve">Janoshik verify key</x:t>
        </x:is>
      </x:c>
      <x:c r="Q21" s="367" t="inlineStr">
        <x:is>
          <x:t xml:space="preserve">Pass</x:t>
        </x:is>
      </x:c>
      <x:c r="R21" s="361" t="inlineStr">
        <x:is>
          <x:t xml:space="preserve">Duplicates removed by same lab/report/date/product</x:t>
        </x:is>
      </x:c>
      <x:c r="S21" s="361" t="inlineStr">
        <x:is>
          <x:t xml:space="preserve">Overfilled</x:t>
        </x:is>
      </x:c>
      <x:c r="T21" s="368" t="inlineStr">
        <x:is>
          <x:t xml:space="preserve">Not Listed</x:t>
        </x:is>
      </x:c>
      <x:c r="U21" s="368" t="inlineStr">
        <x:is>
          <x:t xml:space="preserve">Not Listed</x:t>
        </x:is>
      </x:c>
      <x:c r="V21" s="361" t="inlineStr">
        <x:is>
          <x:t xml:space="preserve">Crimp/cap color not listed or visible in the COA/testing record.</x:t>
        </x:is>
      </x:c>
    </x:row>
    <x:row r="22">
      <x:c r="A22" s="361" t="inlineStr">
        <x:is>
          <x:t xml:space="preserve">COA-0021</x:t>
        </x:is>
      </x:c>
      <x:c r="B22" s="361" t="inlineStr">
        <x:is>
          <x:t xml:space="preserve">CJC-1295 No DAC</x:t>
        </x:is>
      </x:c>
      <x:c r="C22" s="361" t="inlineStr">
        <x:is>
          <x:t xml:space="preserve">Growth Hormone Support</x:t>
        </x:is>
      </x:c>
      <x:c r="D22" s="361" t="n">
        <x:v>10</x:v>
      </x:c>
      <x:c r="E22" s="361" t="n">
        <x:v>9.66</x:v>
      </x:c>
      <x:c r="F22" s="361" t="n">
        <x:v>-0.3399999999999999</x:v>
      </x:c>
      <x:c r="G22" s="364" t="n">
        <x:v>-0.03399999999999999</x:v>
      </x:c>
      <x:c r="H22" s="362" t="n">
        <x:v>99.89700000000001</x:v>
      </x:c>
      <x:c r="I22" s="369" t="inlineStr">
        <x:is>
          <x:t xml:space="preserve">On label</x:t>
        </x:is>
      </x:c>
      <x:c r="J22" s="361" t="inlineStr">
        <x:is>
          <x:t xml:space="preserve">Janoshik</x:t>
        </x:is>
      </x:c>
      <x:c r="K22" s="361" t="inlineStr">
        <x:is>
          <x:t xml:space="preserve">Confirmed</x:t>
        </x:is>
      </x:c>
      <x:c r="L22" s="366" t="n">
        <x:v>46156</x:v>
      </x:c>
      <x:c r="M22" s="361" t="inlineStr">
        <x:is>
          <x:t xml:space="preserve">#155197</x:t>
        </x:is>
      </x:c>
      <x:c r="N22" s="361" t="inlineStr">
        <x:is>
          <x:t xml:space="preserve">TK4BPAPZF2HC</x:t>
        </x:is>
      </x:c>
      <x:c r="O22" s="361" t="inlineStr">
        <x:is>
          <x:t xml:space="preserve">260425</x:t>
        </x:is>
      </x:c>
      <x:c r="P22" s="361" t="inlineStr">
        <x:is>
          <x:t xml:space="preserve">Janoshik verify key</x:t>
        </x:is>
      </x:c>
      <x:c r="Q22" s="367" t="inlineStr">
        <x:is>
          <x:t xml:space="preserve">Pass</x:t>
        </x:is>
      </x:c>
      <x:c r="R22" s="361" t="inlineStr">
        <x:is>
          <x:t xml:space="preserve">Duplicates removed by same lab/report/date/product</x:t>
        </x:is>
      </x:c>
      <x:c r="S22" s="361" t="inlineStr">
        <x:is>
          <x:t xml:space="preserve">Mod GRF 1-29</x:t>
        </x:is>
      </x:c>
      <x:c r="T22" s="368" t="inlineStr">
        <x:is>
          <x:t xml:space="preserve">Not Listed</x:t>
        </x:is>
      </x:c>
      <x:c r="U22" s="368" t="inlineStr">
        <x:is>
          <x:t xml:space="preserve">Not Listed</x:t>
        </x:is>
      </x:c>
      <x:c r="V22" s="361" t="inlineStr">
        <x:is>
          <x:t xml:space="preserve">Crimp/cap color not listed or visible in the COA/testing record.</x:t>
        </x:is>
      </x:c>
    </x:row>
    <x:row r="23">
      <x:c r="A23" s="361" t="inlineStr">
        <x:is>
          <x:t xml:space="preserve">COA-0022</x:t>
        </x:is>
      </x:c>
      <x:c r="B23" s="361" t="inlineStr">
        <x:is>
          <x:t xml:space="preserve">Retatrutide</x:t>
        </x:is>
      </x:c>
      <x:c r="C23" s="361" t="inlineStr">
        <x:is>
          <x:t xml:space="preserve">GLP-1 / Weight</x:t>
        </x:is>
      </x:c>
      <x:c r="D23" s="361" t="n">
        <x:v>30</x:v>
      </x:c>
      <x:c r="E23" s="361" t="n">
        <x:v>34.77</x:v>
      </x:c>
      <x:c r="F23" s="361" t="n">
        <x:v>4.770000000000003</x:v>
      </x:c>
      <x:c r="G23" s="364" t="n">
        <x:v>0.1590000000000001</x:v>
      </x:c>
      <x:c r="H23" s="362" t="n">
        <x:v>99.825</x:v>
      </x:c>
      <x:c r="I23" s="365" t="inlineStr">
        <x:is>
          <x:t xml:space="preserve">Overfilled</x:t>
        </x:is>
      </x:c>
      <x:c r="J23" s="361" t="inlineStr">
        <x:is>
          <x:t xml:space="preserve">Janoshik</x:t>
        </x:is>
      </x:c>
      <x:c r="K23" s="361" t="inlineStr">
        <x:is>
          <x:t xml:space="preserve">Confirmed</x:t>
        </x:is>
      </x:c>
      <x:c r="L23" s="366" t="n">
        <x:v>46156</x:v>
      </x:c>
      <x:c r="M23" s="361" t="inlineStr">
        <x:is>
          <x:t xml:space="preserve">#155167</x:t>
        </x:is>
      </x:c>
      <x:c r="N23" s="361" t="inlineStr">
        <x:is>
          <x:t xml:space="preserve">GHCSPKL4C6CX</x:t>
        </x:is>
      </x:c>
      <x:c r="O23" s="361" t="inlineStr">
        <x:is>
          <x:t xml:space="preserve">260425</x:t>
        </x:is>
      </x:c>
      <x:c r="P23" s="361" t="inlineStr">
        <x:is>
          <x:t xml:space="preserve">Janoshik verify key</x:t>
        </x:is>
      </x:c>
      <x:c r="Q23" s="367" t="inlineStr">
        <x:is>
          <x:t xml:space="preserve">Pass</x:t>
        </x:is>
      </x:c>
      <x:c r="R23" s="361" t="inlineStr">
        <x:is>
          <x:t xml:space="preserve">Unique Janoshik report/date/product</x:t>
        </x:is>
      </x:c>
      <x:c r="S23" s="361" t="inlineStr">
        <x:is>
          <x:t xml:space="preserve">RT30 Retatrutide 30mg; common GLP-1 blind test; overfilled.</x:t>
        </x:is>
      </x:c>
      <x:c r="T23" s="368" t="inlineStr">
        <x:is>
          <x:t xml:space="preserve">Not Listed</x:t>
        </x:is>
      </x:c>
      <x:c r="U23" s="368" t="inlineStr">
        <x:is>
          <x:t xml:space="preserve">Not Listed</x:t>
        </x:is>
      </x:c>
      <x:c r="V23" s="361" t="inlineStr">
        <x:is>
          <x:t xml:space="preserve">Crimp/cap color not listed or visible in the COA/testing record.</x:t>
        </x:is>
      </x:c>
    </x:row>
    <x:row r="24">
      <x:c r="A24" s="361" t="inlineStr">
        <x:is>
          <x:t xml:space="preserve">COA-0023</x:t>
        </x:is>
      </x:c>
      <x:c r="B24" s="361" t="inlineStr">
        <x:is>
          <x:t xml:space="preserve">Tirzepatide</x:t>
        </x:is>
      </x:c>
      <x:c r="C24" s="361" t="inlineStr">
        <x:is>
          <x:t xml:space="preserve">GLP-1 / Weight</x:t>
        </x:is>
      </x:c>
      <x:c r="D24" s="361" t="n">
        <x:v>15</x:v>
      </x:c>
      <x:c r="E24" s="361" t="n">
        <x:v>16.18</x:v>
      </x:c>
      <x:c r="F24" s="361" t="n">
        <x:v>1.18</x:v>
      </x:c>
      <x:c r="G24" s="364" t="n">
        <x:v>0.07866666666666665</x:v>
      </x:c>
      <x:c r="H24" s="362" t="n">
        <x:v>99.73099999999999</x:v>
      </x:c>
      <x:c r="I24" s="365" t="inlineStr">
        <x:is>
          <x:t xml:space="preserve">Overfilled</x:t>
        </x:is>
      </x:c>
      <x:c r="J24" s="361" t="inlineStr">
        <x:is>
          <x:t xml:space="preserve">Janoshik</x:t>
        </x:is>
      </x:c>
      <x:c r="K24" s="361" t="inlineStr">
        <x:is>
          <x:t xml:space="preserve">Confirmed</x:t>
        </x:is>
      </x:c>
      <x:c r="L24" s="366" t="n">
        <x:v>46156</x:v>
      </x:c>
      <x:c r="M24" s="361" t="inlineStr">
        <x:is>
          <x:t xml:space="preserve">#155127</x:t>
        </x:is>
      </x:c>
      <x:c r="N24" s="361" t="inlineStr">
        <x:is>
          <x:t xml:space="preserve">PD278BSFA1D9</x:t>
        </x:is>
      </x:c>
      <x:c r="O24" s="361" t="inlineStr">
        <x:is>
          <x:t xml:space="preserve">260425</x:t>
        </x:is>
      </x:c>
      <x:c r="P24" s="361" t="inlineStr">
        <x:is>
          <x:t xml:space="preserve">Janoshik verify key</x:t>
        </x:is>
      </x:c>
      <x:c r="Q24" s="367" t="inlineStr">
        <x:is>
          <x:t xml:space="preserve">Pass</x:t>
        </x:is>
      </x:c>
      <x:c r="R24" s="361" t="inlineStr">
        <x:is>
          <x:t xml:space="preserve">Unique Janoshik report/date/product</x:t>
        </x:is>
      </x:c>
      <x:c r="S24" s="361" t="inlineStr">
        <x:is>
          <x:t xml:space="preserve">T15 Tirzepatide 15mg; common GLP-1 blind test; overfilled.</x:t>
        </x:is>
      </x:c>
      <x:c r="T24" s="368" t="inlineStr">
        <x:is>
          <x:t xml:space="preserve">Not Listed</x:t>
        </x:is>
      </x:c>
      <x:c r="U24" s="368" t="inlineStr">
        <x:is>
          <x:t xml:space="preserve">Not Listed</x:t>
        </x:is>
      </x:c>
      <x:c r="V24" s="361" t="inlineStr">
        <x:is>
          <x:t xml:space="preserve">Crimp/cap color not listed or visible in the COA/testing record.</x:t>
        </x:is>
      </x:c>
    </x:row>
    <x:row r="25">
      <x:c r="A25" s="361" t="inlineStr">
        <x:is>
          <x:t xml:space="preserve">COA-0024</x:t>
        </x:is>
      </x:c>
      <x:c r="B25" s="361" t="inlineStr">
        <x:is>
          <x:t xml:space="preserve">Retatrutide</x:t>
        </x:is>
      </x:c>
      <x:c r="C25" s="361" t="inlineStr">
        <x:is>
          <x:t xml:space="preserve">GLP-1 / Weight</x:t>
        </x:is>
      </x:c>
      <x:c r="D25" s="361" t="n">
        <x:v>20</x:v>
      </x:c>
      <x:c r="E25" s="361" t="n">
        <x:v>22.47</x:v>
      </x:c>
      <x:c r="F25" s="361" t="n">
        <x:v>2.469999999999999</x:v>
      </x:c>
      <x:c r="G25" s="364" t="n">
        <x:v>0.1234999999999999</x:v>
      </x:c>
      <x:c r="H25" s="362" t="n">
        <x:v>99.86</x:v>
      </x:c>
      <x:c r="I25" s="365" t="inlineStr">
        <x:is>
          <x:t xml:space="preserve">Overfilled</x:t>
        </x:is>
      </x:c>
      <x:c r="J25" s="361" t="inlineStr">
        <x:is>
          <x:t xml:space="preserve">Freedom Diagnostics</x:t>
        </x:is>
      </x:c>
      <x:c r="K25" s="361" t="inlineStr">
        <x:is>
          <x:t xml:space="preserve">Confirmed</x:t>
        </x:is>
      </x:c>
      <x:c r="L25" s="366" t="inlineStr">
        <x:is>
          <x:t xml:space="preserve">2026-06-14</x:t>
        </x:is>
      </x:c>
      <x:c r="M25" s="361" t="inlineStr">
        <x:is>
          <x:t xml:space="preserve">Redacted</x:t>
        </x:is>
      </x:c>
      <x:c r="N25" s="361" t="inlineStr">
        <x:is>
          <x:t xml:space="preserve">N/A</x:t>
        </x:is>
      </x:c>
      <x:c r="O25" s="361" t="inlineStr">
        <x:is>
          <x:t xml:space="preserve">Freedom-RT20-20260614-ClearGreen</x:t>
        </x:is>
      </x:c>
      <x:c r="P25" s="361" t="inlineStr">
        <x:is>
          <x:t xml:space="preserve">Freedom Diagnostics COA image</x:t>
        </x:is>
      </x:c>
      <x:c r="Q25" s="367" t="inlineStr">
        <x:is>
          <x:t xml:space="preserve">Pass</x:t>
        </x:is>
      </x:c>
      <x:c r="R25" s="361" t="inlineStr">
        <x:is>
          <x:t xml:space="preserve">Unique Freedom Diagnostics batch / do not merge with prior Retatrutide COAs</x:t>
        </x:is>
      </x:c>
      <x:c r="S25" s="361" t="inlineStr">
        <x:is>
          <x:t xml:space="preserve">Retatrutide 20mg, separate batch from existing Retatrutide records; received 06/11/2026, reported 06/14/2026.</x:t>
        </x:is>
      </x:c>
      <x:c r="T25" s="368" t="inlineStr">
        <x:is>
          <x:t xml:space="preserve">Not Listed</x:t>
        </x:is>
      </x:c>
      <x:c r="U25" s="375" t="inlineStr">
        <x:is>
          <x:t xml:space="preserve">Clear Green</x:t>
        </x:is>
      </x:c>
      <x:c r="V25" s="361" t="inlineStr">
        <x:is>
          <x:t xml:space="preserve">Clear green cap per COA image</x:t>
        </x:is>
      </x:c>
    </x:row>
    <x:row r="26">
      <x:c r="A26" t="inlineStr">
        <x:is>
          <x:t xml:space="preserve">COA-0025</x:t>
        </x:is>
      </x:c>
      <x:c r="B26" t="inlineStr">
        <x:is>
          <x:t xml:space="preserve">Retatrutide</x:t>
        </x:is>
      </x:c>
      <x:c r="C26" t="inlineStr">
        <x:is>
          <x:t xml:space="preserve">GLP-1 / Weight</x:t>
        </x:is>
      </x:c>
      <x:c r="D26" t="n">
        <x:v>30</x:v>
      </x:c>
      <x:c r="E26" t="n">
        <x:v>33.31</x:v>
      </x:c>
      <x:c r="F26" t="n">
        <x:v>3.31</x:v>
      </x:c>
      <x:c r="G26" t="n">
        <x:v>0.1103333333333333</x:v>
      </x:c>
      <x:c r="H26" t="n">
        <x:v>99.563</x:v>
      </x:c>
      <x:c r="I26" t="inlineStr">
        <x:is>
          <x:t xml:space="preserve">Overfilled</x:t>
        </x:is>
      </x:c>
      <x:c r="J26" t="inlineStr">
        <x:is>
          <x:t xml:space="preserve">Kovera Labs</x:t>
        </x:is>
      </x:c>
      <x:c r="K26" t="inlineStr">
        <x:is>
          <x:t xml:space="preserve">Confirmed</x:t>
        </x:is>
      </x:c>
      <x:c r="L26" t="inlineStr">
        <x:is>
          <x:t xml:space="preserve">2026-06-20</x:t>
        </x:is>
      </x:c>
      <x:c r="M26" t="inlineStr">
        <x:is>
          <x:t xml:space="preserve">Redacted</x:t>
        </x:is>
      </x:c>
      <x:c r="N26" t="inlineStr">
        <x:is>
          <x:t xml:space="preserve"/>
        </x:is>
      </x:c>
      <x:c r="O26" t="inlineStr">
        <x:is>
          <x:t xml:space="preserve">Redacted</x:t>
        </x:is>
      </x:c>
      <x:c r="P26" t="inlineStr">
        <x:is>
          <x:t xml:space="preserve">Kovera COA</x:t>
        </x:is>
      </x:c>
      <x:c r="Q26" t="inlineStr">
        <x:is>
          <x:t xml:space="preserve">Pass</x:t>
        </x:is>
      </x:c>
      <x:c r="R26" t="inlineStr">
        <x:is>
          <x:t xml:space="preserve">Unique batch</x:t>
        </x:is>
      </x:c>
      <x:c r="S26" t="inlineStr">
        <x:is>
          <x:t xml:space="preserve">Transparent cap Retatrutide 30mg</x:t>
        </x:is>
      </x:c>
      <x:c r="T26" t="inlineStr">
        <x:is>
          <x:t xml:space="preserve">Silver</x:t>
        </x:is>
      </x:c>
      <x:c r="U26" t="inlineStr">
        <x:is>
          <x:t xml:space="preserve">Transparent</x:t>
        </x:is>
      </x:c>
      <x:c r="V26" t="inlineStr">
        <x:is>
          <x:t xml:space="preserve">Transparent cap / silver crimp</x:t>
        </x:is>
      </x:c>
    </x:row>
    <x:row r="27">
      <x:c r="A27" t="inlineStr">
        <x:is>
          <x:t xml:space="preserve">COA-0026</x:t>
        </x:is>
      </x:c>
      <x:c r="B27" t="inlineStr">
        <x:is>
          <x:t xml:space="preserve">Retatrutide</x:t>
        </x:is>
      </x:c>
      <x:c r="C27" t="inlineStr">
        <x:is>
          <x:t xml:space="preserve">GLP-1 / Weight</x:t>
        </x:is>
      </x:c>
      <x:c r="D27" t="n">
        <x:v>40</x:v>
      </x:c>
      <x:c r="E27" t="n">
        <x:v>42.53</x:v>
      </x:c>
      <x:c r="F27" t="n">
        <x:v>2.53</x:v>
      </x:c>
      <x:c r="G27" t="n">
        <x:v>0.06325</x:v>
      </x:c>
      <x:c r="H27" t="n">
        <x:v>99.569</x:v>
      </x:c>
      <x:c r="I27" t="inlineStr">
        <x:is>
          <x:t xml:space="preserve">Overfilled</x:t>
        </x:is>
      </x:c>
      <x:c r="J27" t="inlineStr">
        <x:is>
          <x:t xml:space="preserve">Kovera Labs</x:t>
        </x:is>
      </x:c>
      <x:c r="K27" t="inlineStr">
        <x:is>
          <x:t xml:space="preserve">Confirmed</x:t>
        </x:is>
      </x:c>
      <x:c r="L27" t="inlineStr">
        <x:is>
          <x:t xml:space="preserve">2026-06-20</x:t>
        </x:is>
      </x:c>
      <x:c r="M27" t="inlineStr">
        <x:is>
          <x:t xml:space="preserve">Redacted</x:t>
        </x:is>
      </x:c>
      <x:c r="N27" t="inlineStr">
        <x:is>
          <x:t xml:space="preserve"/>
        </x:is>
      </x:c>
      <x:c r="O27" t="inlineStr">
        <x:is>
          <x:t xml:space="preserve">Redacted</x:t>
        </x:is>
      </x:c>
      <x:c r="P27" t="inlineStr">
        <x:is>
          <x:t xml:space="preserve">Kovera COA</x:t>
        </x:is>
      </x:c>
      <x:c r="Q27" t="inlineStr">
        <x:is>
          <x:t xml:space="preserve">Pass</x:t>
        </x:is>
      </x:c>
      <x:c r="R27" t="inlineStr">
        <x:is>
          <x:t xml:space="preserve">Unique batch</x:t>
        </x:is>
      </x:c>
      <x:c r="S27" t="inlineStr">
        <x:is>
          <x:t xml:space="preserve">Blue cap Retatrutide 40mg</x:t>
        </x:is>
      </x:c>
      <x:c r="T27" t="inlineStr">
        <x:is>
          <x:t xml:space="preserve">Silver</x:t>
        </x:is>
      </x:c>
      <x:c r="U27" t="inlineStr">
        <x:is>
          <x:t xml:space="preserve">Blue</x:t>
        </x:is>
      </x:c>
      <x:c r="V27" t="inlineStr">
        <x:is>
          <x:t xml:space="preserve">Blue cap / silver crimp</x:t>
        </x:is>
      </x:c>
    </x:row>
    <x:row r="28">
      <x:c r="A28" t="inlineStr">
        <x:is>
          <x:t xml:space="preserve">COA-0027</x:t>
        </x:is>
      </x:c>
      <x:c r="B28" t="inlineStr">
        <x:is>
          <x:t xml:space="preserve">ADAMAX</x:t>
        </x:is>
      </x:c>
      <x:c r="C28" t="inlineStr">
        <x:is>
          <x:t xml:space="preserve">Research Peptide</x:t>
        </x:is>
      </x:c>
      <x:c r="D28" t="n">
        <x:v>10</x:v>
      </x:c>
      <x:c r="E28" t="n">
        <x:v>10.92</x:v>
      </x:c>
      <x:c r="F28" t="n">
        <x:v>0.92</x:v>
      </x:c>
      <x:c r="G28" t="n">
        <x:v>0.092</x:v>
      </x:c>
      <x:c r="H28" t="n">
        <x:v>99.91</x:v>
      </x:c>
      <x:c r="I28" t="inlineStr">
        <x:is>
          <x:t xml:space="preserve">Overfilled</x:t>
        </x:is>
      </x:c>
      <x:c r="J28" t="inlineStr">
        <x:is>
          <x:t xml:space="preserve">SteriGenix</x:t>
        </x:is>
      </x:c>
      <x:c r="K28" t="inlineStr">
        <x:is>
          <x:t xml:space="preserve">Confirmed</x:t>
        </x:is>
      </x:c>
      <x:c r="L28" t="inlineStr">
        <x:is>
          <x:t xml:space="preserve">2026-06-22</x:t>
        </x:is>
      </x:c>
      <x:c r="M28" t="inlineStr">
        <x:is>
          <x:t xml:space="preserve">RPT-2026-433986</x:t>
        </x:is>
      </x:c>
      <x:c r="N28" t="inlineStr">
        <x:is>
          <x:t xml:space="preserve"/>
        </x:is>
      </x:c>
      <x:c r="O28" t="inlineStr">
        <x:is>
          <x:t xml:space="preserve">BSV-ADM-101-062026</x:t>
        </x:is>
      </x:c>
      <x:c r="P28" t="inlineStr">
        <x:is>
          <x:t xml:space="preserve">SteriGenix COA</x:t>
        </x:is>
      </x:c>
      <x:c r="Q28" t="inlineStr">
        <x:is>
          <x:t xml:space="preserve">Pass</x:t>
        </x:is>
      </x:c>
      <x:c r="R28" t="inlineStr">
        <x:is>
          <x:t xml:space="preserve">Unique batch</x:t>
        </x:is>
      </x:c>
      <x:c r="S28" t="inlineStr">
        <x:is>
          <x:t xml:space="preserve">Adamax 10mg with heavy metal and endotoxin screen</x:t>
        </x:is>
      </x:c>
      <x:c r="T28" t="inlineStr">
        <x:is>
          <x:t xml:space="preserve">Silver</x:t>
        </x:is>
      </x:c>
      <x:c r="U28" t="inlineStr">
        <x:is>
          <x:t xml:space="preserve">Clear</x:t>
        </x:is>
      </x:c>
      <x:c r="V28" t="inlineStr">
        <x:is>
          <x:t xml:space="preserve">Clear cap / silver crimp</x:t>
        </x:is>
      </x:c>
    </x:row>
    <x:row r="29">
      <x:c r="A29" t="str">
        <x:v>COA-0028</x:v>
      </x:c>
      <x:c r="B29" t="str">
        <x:v>BPC/TB Blend</x:v>
      </x:c>
      <x:c r="C29" t="str">
        <x:v>Healing / Recovery</x:v>
      </x:c>
      <x:c r="D29" t="n">
        <x:v>10</x:v>
      </x:c>
      <x:c r="E29" t="n">
        <x:v>11.85</x:v>
      </x:c>
      <x:c r="F29" t="n">
        <x:v>1.85</x:v>
      </x:c>
      <x:c r="G29" t="n">
        <x:v>0.185</x:v>
      </x:c>
      <x:c r="H29" t="n">
        <x:v>99.81</x:v>
      </x:c>
      <x:c r="I29" t="str">
        <x:v>Overfilled</x:v>
      </x:c>
      <x:c r="J29" t="str">
        <x:v>Testides</x:v>
      </x:c>
      <x:c r="K29" t="str">
        <x:v>Confirmed</x:v>
      </x:c>
      <x:c r="L29" t="str">
        <x:v>2026-06-15</x:v>
      </x:c>
      <x:c r="M29" t="str">
        <x:v>PT-BPCTB-10-062226-01</x:v>
      </x:c>
      <x:c r="N29" t="str">
        <x:v>da424443</x:v>
      </x:c>
      <x:c r="O29" t="str">
        <x:v>BATCH-01</x:v>
      </x:c>
      <x:c r="P29" t="str">
        <x:v>Local PDF: assets/coa/PT-BPCTB-10-062226-01.pdf</x:v>
      </x:c>
      <x:c r="Q29" t="str">
        <x:v>Pass</x:v>
      </x:c>
      <x:c r="R29" t="str">
        <x:v>Unique added from uploaded COA ZIP; no exact duplicate by compound/lab/date/report/content found.</x:v>
      </x:c>
      <x:c r="S29" t="str">
        <x:v>BPC-157 5.76mg + TB-500 6.09mg; Date received/reported Jun 24, 2026; generated Jul 4, 2026.</x:v>
      </x:c>
      <x:c r="T29" t="str">
        <x:v>Not Listed</x:v>
      </x:c>
      <x:c r="U29" t="str">
        <x:v>Not Listed</x:v>
      </x:c>
      <x:c r="V29" t="str">
        <x:v>Crimp/cap color not listed in PDF.</x:v>
      </x:c>
    </x:row>
    <x:row r="30">
      <x:c r="A30" t="str">
        <x:v>COA-0029</x:v>
      </x:c>
      <x:c r="B30" t="str">
        <x:v>MOTS-C</x:v>
      </x:c>
      <x:c r="C30" t="str">
        <x:v>Metabolic / Mito</x:v>
      </x:c>
      <x:c r="D30" t="n">
        <x:v>40</x:v>
      </x:c>
      <x:c r="E30" t="n">
        <x:v>45.03</x:v>
      </x:c>
      <x:c r="F30" t="n">
        <x:v>5.03</x:v>
      </x:c>
      <x:c r="G30" t="n">
        <x:v>0.12575</x:v>
      </x:c>
      <x:c r="H30" t="n">
        <x:v>99.39</x:v>
      </x:c>
      <x:c r="I30" t="str">
        <x:v>Overfilled</x:v>
      </x:c>
      <x:c r="J30" t="str">
        <x:v>Testides</x:v>
      </x:c>
      <x:c r="K30" t="str">
        <x:v>Confirmed</x:v>
      </x:c>
      <x:c r="L30" t="str">
        <x:v>2026-06-15</x:v>
      </x:c>
      <x:c r="M30" t="str">
        <x:v>PT-MOTS-40-062226-01</x:v>
      </x:c>
      <x:c r="N30" t="str">
        <x:v>96ea8238</x:v>
      </x:c>
      <x:c r="O30" t="str">
        <x:v>BATCH-01</x:v>
      </x:c>
      <x:c r="P30" t="str">
        <x:v>Local PDF: assets/coa/PT-MOTS-40-062226-01.pdf</x:v>
      </x:c>
      <x:c r="Q30" t="str">
        <x:v>Pass</x:v>
      </x:c>
      <x:c r="R30" t="str">
        <x:v>Unique added from uploaded COA ZIP; no exact duplicate by compound/lab/date/report/content found.</x:v>
      </x:c>
      <x:c r="S30" t="str">
        <x:v>MOTS-c 40mg; Date received/reported Jun 24, 2026; generated Jul 4, 2026.</x:v>
      </x:c>
      <x:c r="T30" t="str">
        <x:v>Not Listed</x:v>
      </x:c>
      <x:c r="U30" t="str">
        <x:v>Not Listed</x:v>
      </x:c>
      <x:c r="V30" t="str">
        <x:v>Crimp/cap color not listed in PDF.</x:v>
      </x:c>
    </x:row>
    <x:row r="31">
      <x:c r="A31" t="str">
        <x:v>COA-0030</x:v>
      </x:c>
      <x:c r="B31" t="str">
        <x:v>Retatrutide</x:v>
      </x:c>
      <x:c r="C31" t="str">
        <x:v>GLP-1 / Weight</x:v>
      </x:c>
      <x:c r="D31" t="n">
        <x:v>20</x:v>
      </x:c>
      <x:c r="E31" t="n">
        <x:v>21.4</x:v>
      </x:c>
      <x:c r="F31" t="n">
        <x:v>1.4</x:v>
      </x:c>
      <x:c r="G31" t="n">
        <x:v>0.06999999999999999</x:v>
      </x:c>
      <x:c r="H31" t="n">
        <x:v>99.49</x:v>
      </x:c>
      <x:c r="I31" t="str">
        <x:v>Overfilled</x:v>
      </x:c>
      <x:c r="J31" t="str">
        <x:v>Testides</x:v>
      </x:c>
      <x:c r="K31" t="str">
        <x:v>Confirmed</x:v>
      </x:c>
      <x:c r="L31" t="str">
        <x:v>2026-06-15</x:v>
      </x:c>
      <x:c r="M31" t="str">
        <x:v>PT-RETA-20-062226-01</x:v>
      </x:c>
      <x:c r="N31" t="str">
        <x:v>5c1aa528</x:v>
      </x:c>
      <x:c r="O31" t="str">
        <x:v>BATCH-01</x:v>
      </x:c>
      <x:c r="P31" t="str">
        <x:v>Local PDF: assets/coa/PT-RETA-20-062226-01.pdf</x:v>
      </x:c>
      <x:c r="Q31" t="str">
        <x:v>Pass</x:v>
      </x:c>
      <x:c r="R31" t="str">
        <x:v>Unique added from uploaded COA ZIP; no exact duplicate by compound/lab/date/report/content found.</x:v>
      </x:c>
      <x:c r="S31" t="str">
        <x:v>Retatrutide 20mg; Date received/reported Jun 24, 2026; generated Jul 4, 2026.</x:v>
      </x:c>
      <x:c r="T31" t="str">
        <x:v>Not Listed</x:v>
      </x:c>
      <x:c r="U31" t="str">
        <x:v>Not Listed</x:v>
      </x:c>
      <x:c r="V31" t="str">
        <x:v>Crimp/cap color not listed in PDF.</x:v>
      </x:c>
    </x:row>
    <x:row r="32">
      <x:c r="A32" t="str">
        <x:v>COA-0031</x:v>
      </x:c>
      <x:c r="B32" t="str">
        <x:v>Retatrutide</x:v>
      </x:c>
      <x:c r="C32" t="str">
        <x:v>GLP-1 / Weight</x:v>
      </x:c>
      <x:c r="D32" t="n">
        <x:v>30</x:v>
      </x:c>
      <x:c r="E32" t="n">
        <x:v>33.77</x:v>
      </x:c>
      <x:c r="F32" t="n">
        <x:v>3.77</x:v>
      </x:c>
      <x:c r="G32" t="n">
        <x:v>0.12566666666666668</x:v>
      </x:c>
      <x:c r="H32" t="n">
        <x:v>99.58</x:v>
      </x:c>
      <x:c r="I32" t="str">
        <x:v>Overfilled</x:v>
      </x:c>
      <x:c r="J32" t="str">
        <x:v>Testides</x:v>
      </x:c>
      <x:c r="K32" t="str">
        <x:v>Confirmed</x:v>
      </x:c>
      <x:c r="L32" t="str">
        <x:v>2026-06-15</x:v>
      </x:c>
      <x:c r="M32" t="str">
        <x:v>PT-RETA-30-062226-01</x:v>
      </x:c>
      <x:c r="N32" t="str">
        <x:v>a8c10db6</x:v>
      </x:c>
      <x:c r="O32" t="str">
        <x:v>BATCH-01</x:v>
      </x:c>
      <x:c r="P32" t="str">
        <x:v>Local PDF: assets/coa/PT-RETA-30-062226-01.pdf</x:v>
      </x:c>
      <x:c r="Q32" t="str">
        <x:v>Pass</x:v>
      </x:c>
      <x:c r="R32" t="str">
        <x:v>Unique added from uploaded COA ZIP; no exact duplicate by compound/lab/date/report/content found.</x:v>
      </x:c>
      <x:c r="S32" t="str">
        <x:v>Retatrutide 30mg; Date received/reported Jun 24, 2026; generated Jul 4, 2026.</x:v>
      </x:c>
      <x:c r="T32" t="str">
        <x:v>Not Listed</x:v>
      </x:c>
      <x:c r="U32" t="str">
        <x:v>Not Listed</x:v>
      </x:c>
      <x:c r="V32" t="str">
        <x:v>Crimp/cap color not listed in PDF.</x:v>
      </x:c>
    </x:row>
    <x:row r="33">
      <x:c r="A33" t="str">
        <x:v>COA-0032</x:v>
      </x:c>
      <x:c r="B33" t="str">
        <x:v>Semaglutide</x:v>
      </x:c>
      <x:c r="C33" t="str">
        <x:v>GLP-1 / Weight</x:v>
      </x:c>
      <x:c r="D33" t="n">
        <x:v>15</x:v>
      </x:c>
      <x:c r="E33" t="n">
        <x:v>15.53</x:v>
      </x:c>
      <x:c r="F33" t="n">
        <x:v>0.53</x:v>
      </x:c>
      <x:c r="G33" t="n">
        <x:v>0.035333333333333335</x:v>
      </x:c>
      <x:c r="H33" t="n">
        <x:v>99.642</x:v>
      </x:c>
      <x:c r="I33" t="str">
        <x:v>On label</x:v>
      </x:c>
      <x:c r="J33" t="str">
        <x:v>Kovera Labs</x:v>
      </x:c>
      <x:c r="K33" t="str">
        <x:v>Confirmed</x:v>
      </x:c>
      <x:c r="L33" t="str">
        <x:v>2026-07-03</x:v>
      </x:c>
      <x:c r="M33" t="str">
        <x:v>Redacted</x:v>
      </x:c>
      <x:c r="N33" t="str">
        <x:v>Redacted</x:v>
      </x:c>
      <x:c r="O33" t="str">
        <x:v>Redacted</x:v>
      </x:c>
      <x:c r="P33" t="str">
        <x:v>Local image: assets/coa/photo_2026-07-04_22-14-31.jpg</x:v>
      </x:c>
      <x:c r="Q33" t="str">
        <x:v>Pass</x:v>
      </x:c>
      <x:c r="R33" t="str">
        <x:v>Unique added from uploaded COA ZIP; no exact duplicate by compound/lab/date/report/content found.</x:v>
      </x:c>
      <x:c r="S33" t="str">
        <x:v>Kovera image COA; black cap / silver crimp; heavy metals negative; endotoxin pass. CAS 910463-68-2 visible; report/access code redacted.</x:v>
      </x:c>
      <x:c r="T33" t="str">
        <x:v>Silver</x:v>
      </x:c>
      <x:c r="U33" t="str">
        <x:v>Black</x:v>
      </x:c>
      <x:c r="V33" t="str">
        <x:v>Black cap / silver crimp per COA image.</x:v>
      </x:c>
    </x:row>
    <x:row r="34">
      <x:c r="A34" t="str">
        <x:v>COA-0033</x:v>
      </x:c>
      <x:c r="B34" t="str">
        <x:v>Tirzepatide</x:v>
      </x:c>
      <x:c r="C34" t="str">
        <x:v>GLP-1 / Weight</x:v>
      </x:c>
      <x:c r="D34" t="n">
        <x:v>30</x:v>
      </x:c>
      <x:c r="E34" t="n">
        <x:v>33.24</x:v>
      </x:c>
      <x:c r="F34" t="n">
        <x:v>3.24</x:v>
      </x:c>
      <x:c r="G34" t="n">
        <x:v>0.10800000000000001</x:v>
      </x:c>
      <x:c r="H34" t="n">
        <x:v>99.6</x:v>
      </x:c>
      <x:c r="I34" t="str">
        <x:v>Overfilled</x:v>
      </x:c>
      <x:c r="J34" t="str">
        <x:v>Kovera Labs</x:v>
      </x:c>
      <x:c r="K34" t="str">
        <x:v>Confirmed</x:v>
      </x:c>
      <x:c r="L34" t="str">
        <x:v>2026-07-03</x:v>
      </x:c>
      <x:c r="M34" t="str">
        <x:v>Redacted</x:v>
      </x:c>
      <x:c r="N34" t="str">
        <x:v>Redacted</x:v>
      </x:c>
      <x:c r="O34" t="str">
        <x:v>Redacted</x:v>
      </x:c>
      <x:c r="P34" t="str">
        <x:v>Local image: assets/coa/photo_2026-07-04_22-34-37.jpg</x:v>
      </x:c>
      <x:c r="Q34" t="str">
        <x:v>Pass</x:v>
      </x:c>
      <x:c r="R34" t="str">
        <x:v>Unique added from uploaded COA ZIP; no exact duplicate by compound/lab/date/report/content found.</x:v>
      </x:c>
      <x:c r="S34" t="str">
        <x:v>Kovera image COA; blue cap / silver crimp; heavy metals negative; endotoxin pass. CAS 2023788-19-2 visible; report/access code redacted.</x:v>
      </x:c>
      <x:c r="T34" t="str">
        <x:v>Silver</x:v>
      </x:c>
      <x:c r="U34" t="str">
        <x:v>Blue</x:v>
      </x:c>
      <x:c r="V34" t="str">
        <x:v>Blue cap / silver crimp per COA image.</x:v>
      </x:c>
    </x:row>
    <x:row r="35">
      <x:c r="A35" t="str">
        <x:v>COA-0034</x:v>
      </x:c>
      <x:c r="B35" t="str">
        <x:v>Tirzepatide</x:v>
      </x:c>
      <x:c r="C35" t="str">
        <x:v>GLP-1 / Weight</x:v>
      </x:c>
      <x:c r="D35" t="n">
        <x:v>15</x:v>
      </x:c>
      <x:c r="E35" t="n">
        <x:v>15.59</x:v>
      </x:c>
      <x:c r="F35" t="n">
        <x:v>0.59</x:v>
      </x:c>
      <x:c r="G35" t="n">
        <x:v>0.03933333333333333</x:v>
      </x:c>
      <x:c r="H35" t="n">
        <x:v>99.747</x:v>
      </x:c>
      <x:c r="I35" t="str">
        <x:v>On label</x:v>
      </x:c>
      <x:c r="J35" t="str">
        <x:v>Kovera Labs</x:v>
      </x:c>
      <x:c r="K35" t="str">
        <x:v>Confirmed</x:v>
      </x:c>
      <x:c r="L35" t="str">
        <x:v>2026-07-03</x:v>
      </x:c>
      <x:c r="M35" t="str">
        <x:v>Redacted</x:v>
      </x:c>
      <x:c r="N35" t="str">
        <x:v>Redacted</x:v>
      </x:c>
      <x:c r="O35" t="str">
        <x:v>Redacted</x:v>
      </x:c>
      <x:c r="P35" t="str">
        <x:v>Local image: assets/coa/photo_2026-07-04_22-35-21.jpg</x:v>
      </x:c>
      <x:c r="Q35" t="str">
        <x:v>Pass</x:v>
      </x:c>
      <x:c r="R35" t="str">
        <x:v>Unique added from uploaded COA ZIP; no exact duplicate by compound/lab/date/report/content found.</x:v>
      </x:c>
      <x:c r="S35" t="str">
        <x:v>Kovera image COA; purple cap / silver crimp; heavy metals negative; endotoxin pass. CAS 2023788-19-2 visible; report/access code redacted.</x:v>
      </x:c>
      <x:c r="T35" t="str">
        <x:v>Silver</x:v>
      </x:c>
      <x:c r="U35" t="str">
        <x:v>Purple</x:v>
      </x:c>
      <x:c r="V35" t="str">
        <x:v>Purple cap / silver crimp per COA image.</x:v>
      </x:c>
    </x:row>
  </x:sheetData>
  <x:conditionalFormatting sqref="G2:G22">
    <x:cfRule type="dataBar" priority="2">
      <x:dataBar>
        <x:cfvo type="min"/>
        <x:cfvo type="max"/>
        <x:color rgb="FF0F766E"/>
      </x:dataBar>
    </x:cfRule>
    <x:cfRule type="dataBar" priority="3">
      <x:dataBar>
        <x:cfvo type="min"/>
        <x:cfvo type="max"/>
        <x:color rgb="FF0F766E"/>
      </x:dataBar>
    </x:cfRule>
    <x:cfRule type="dataBar" priority="4">
      <x:dataBar>
        <x:cfvo type="min"/>
        <x:cfvo type="max"/>
        <x:color rgb="FF0F766E"/>
      </x:dataBar>
    </x:cfRule>
  </x:conditionalFormatting>
  <x:conditionalFormatting sqref="H2:H22">
    <x:cfRule type="colorScale" priority="1">
      <x:colorScale>
        <x:cfvo type="min"/>
        <x:cfvo type="percentile" val="50"/>
        <x:cfvo type="max"/>
        <x:color rgb="FFFECACA"/>
        <x:color rgb="FFFEF3C7"/>
        <x:color rgb="FFDCFCE7"/>
      </x:colorScale>
    </x:cfRule>
  </x:conditionalFormatting>
  <x:conditionalFormatting sqref="T2:T22">
    <x:cfRule type="expression" dxfId="6" priority="5">
      <x:formula>$T2="Black"</x:formula>
    </x:cfRule>
    <x:cfRule type="expression" dxfId="7" priority="6">
      <x:formula>$T2="Blue"</x:formula>
    </x:cfRule>
    <x:cfRule type="expression" dxfId="8" priority="7">
      <x:formula>$T2="Red"</x:formula>
    </x:cfRule>
    <x:cfRule type="expression" dxfId="9" priority="8">
      <x:formula>$T2="Green"</x:formula>
    </x:cfRule>
    <x:cfRule type="expression" dxfId="10" priority="9">
      <x:formula>$T2="Purple"</x:formula>
    </x:cfRule>
    <x:cfRule type="expression" dxfId="11" priority="10">
      <x:formula>$T2="Gold"</x:formula>
    </x:cfRule>
    <x:cfRule type="expression" dxfId="12" priority="11">
      <x:formula>$T2="Silver"</x:formula>
    </x:cfRule>
    <x:cfRule type="expression" dxfId="13" priority="12">
      <x:formula>$T2="White"</x:formula>
    </x:cfRule>
    <x:cfRule type="expression" dxfId="14" priority="13">
      <x:formula>$T2="Clear"</x:formula>
    </x:cfRule>
    <x:cfRule type="expression" dxfId="12" priority="14">
      <x:formula>$T2="Gray"</x:formula>
    </x:cfRule>
    <x:cfRule type="expression" dxfId="16" priority="15">
      <x:formula>$T2="Orange"</x:formula>
    </x:cfRule>
    <x:cfRule type="expression" dxfId="17" priority="16">
      <x:formula>$T2="Pink"</x:formula>
    </x:cfRule>
    <x:cfRule type="expression" dxfId="18" priority="17">
      <x:formula>$T2="Yellow"</x:formula>
    </x:cfRule>
    <x:cfRule type="expression" dxfId="19" priority="18">
      <x:formula>$T2="Teal"</x:formula>
    </x:cfRule>
    <x:cfRule type="expression" dxfId="20" priority="19">
      <x:formula>$T2="Unknown"</x:formula>
    </x:cfRule>
    <x:cfRule type="expression" dxfId="20" priority="20">
      <x:formula>$T2="Not Listed"</x:formula>
    </x:cfRule>
    <x:cfRule type="expression" dxfId="22" priority="21">
      <x:formula>$T2="Mixed/Multiple"</x:formula>
    </x:cfRule>
  </x:conditionalFormatting>
  <x:conditionalFormatting sqref="U2:U22">
    <x:cfRule type="expression" dxfId="6" priority="22">
      <x:formula>$U2="Black"</x:formula>
    </x:cfRule>
    <x:cfRule type="expression" dxfId="7" priority="23">
      <x:formula>$U2="Blue"</x:formula>
    </x:cfRule>
    <x:cfRule type="expression" dxfId="8" priority="24">
      <x:formula>$U2="Red"</x:formula>
    </x:cfRule>
    <x:cfRule type="expression" dxfId="9" priority="25">
      <x:formula>$U2="Green"</x:formula>
    </x:cfRule>
    <x:cfRule type="expression" dxfId="10" priority="26">
      <x:formula>$U2="Purple"</x:formula>
    </x:cfRule>
    <x:cfRule type="expression" dxfId="11" priority="27">
      <x:formula>$U2="Gold"</x:formula>
    </x:cfRule>
    <x:cfRule type="expression" dxfId="12" priority="28">
      <x:formula>$U2="Silver"</x:formula>
    </x:cfRule>
    <x:cfRule type="expression" dxfId="13" priority="29">
      <x:formula>$U2="White"</x:formula>
    </x:cfRule>
    <x:cfRule type="expression" dxfId="14" priority="30">
      <x:formula>$U2="Clear"</x:formula>
    </x:cfRule>
    <x:cfRule type="expression" dxfId="12" priority="31">
      <x:formula>$U2="Gray"</x:formula>
    </x:cfRule>
    <x:cfRule type="expression" dxfId="16" priority="32">
      <x:formula>$U2="Orange"</x:formula>
    </x:cfRule>
    <x:cfRule type="expression" dxfId="17" priority="33">
      <x:formula>$U2="Pink"</x:formula>
    </x:cfRule>
    <x:cfRule type="expression" dxfId="18" priority="34">
      <x:formula>$U2="Yellow"</x:formula>
    </x:cfRule>
    <x:cfRule type="expression" dxfId="19" priority="35">
      <x:formula>$U2="Teal"</x:formula>
    </x:cfRule>
    <x:cfRule type="expression" dxfId="20" priority="36">
      <x:formula>$U2="Unknown"</x:formula>
    </x:cfRule>
    <x:cfRule type="expression" dxfId="20" priority="37">
      <x:formula>$U2="Not Listed"</x:formula>
    </x:cfRule>
    <x:cfRule type="expression" dxfId="22" priority="38">
      <x:formula>$U2="Mixed/Multiple"</x:formula>
    </x:cfRule>
  </x:conditionalFormatting>
  <x:dataValidations count="7">
    <x:dataValidation type="list" allowBlank="0" showDropDown="0" showInputMessage="0" showErrorMessage="0" sqref="I2:I22">
      <x:formula1>"Overfilled,Underfilled,On label,Review,Pending"</x:formula1>
    </x:dataValidation>
    <x:dataValidation type="list" allowBlank="0" showDropDown="0" showInputMessage="0" showErrorMessage="0" sqref="Q2:Q22">
      <x:formula1>"Pass,Fail,Review,Pending"</x:formula1>
    </x:dataValidation>
    <x:dataValidation type="list" allowBlank="0" showDropDown="0" showInputMessage="0" showErrorMessage="0" sqref="K2:K22">
      <x:formula1>"Confirmed,Unconfirmed,Review,Pending"</x:formula1>
    </x:dataValidation>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73b3399c435d464e"/>
  </x:tableParts>
</x:worksheet>
</file>

<file path=xl/worksheets/sheet3.xml><?xml version="1.0" encoding="utf-8"?>
<x:worksheet xmlns:x="http://schemas.openxmlformats.org/spreadsheetml/2006/main">
  <x:sheetFormatPr baseColWidth="8" defaultRowHeight="13.800000190734863"/>
  <x:cols>
    <x:col min="1" max="1" width="10" style="198" customWidth="1"/>
    <x:col min="2" max="2" width="10" style="198" customWidth="1"/>
    <x:col min="3" max="3" width="17" style="198" customWidth="1"/>
    <x:col min="4" max="4" width="24" style="198" customWidth="1"/>
    <x:col min="5" max="5" width="18" style="198" customWidth="1"/>
    <x:col min="6" max="6" width="21" style="198" customWidth="1"/>
    <x:col min="7" max="7" width="33" style="198" customWidth="1"/>
    <x:col min="8" max="8" width="10" style="198" customWidth="1"/>
    <x:col min="9" max="9" width="40" style="198" customWidth="1"/>
    <x:col min="10" max="10" width="21" style="198" customWidth="1"/>
    <x:col min="11" max="11" width="21" style="198" customWidth="1"/>
    <x:col min="12" max="12" width="13" style="198" customWidth="1"/>
    <x:col min="13" max="13" width="13" style="198" customWidth="1"/>
    <x:col min="14" max="14" width="40"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Rank</x:t>
        </x:is>
      </x:c>
      <x:c r="B1" s="363" t="inlineStr">
        <x:is>
          <x:t xml:space="preserve">COA ID</x:t>
        </x:is>
      </x:c>
      <x:c r="C1" s="363" t="inlineStr">
        <x:is>
          <x:t xml:space="preserve">Compound</x:t>
        </x:is>
      </x:c>
      <x:c r="D1" s="363" t="inlineStr">
        <x:is>
          <x:t xml:space="preserve">Compound Type</x:t>
        </x:is>
      </x:c>
      <x:c r="E1" s="363" t="inlineStr">
        <x:is>
          <x:t xml:space="preserve">Labeled Qty (mg)</x:t>
        </x:is>
      </x:c>
      <x:c r="F1" s="363" t="inlineStr">
        <x:is>
          <x:t xml:space="preserve">Actual Content (mg)</x:t>
        </x:is>
      </x:c>
      <x:c r="G1" s="363" t="inlineStr">
        <x:is>
          <x:t xml:space="preserve">Variance %</x:t>
        </x:is>
      </x:c>
      <x:c r="H1" s="363" t="inlineStr">
        <x:is>
          <x:t xml:space="preserve">Purity %</x:t>
        </x:is>
      </x:c>
      <x:c r="I1" s="363" t="inlineStr">
        <x:is>
          <x:t xml:space="preserve">Status</x:t>
        </x:is>
      </x:c>
      <x:c r="J1" s="363" t="inlineStr">
        <x:is>
          <x:t xml:space="preserve">Lab</x:t>
        </x:is>
      </x:c>
      <x:c r="K1" s="363" t="inlineStr">
        <x:is>
          <x:t xml:space="preserve">Test Date</x:t>
        </x:is>
      </x:c>
      <x:c r="L1" s="363" t="inlineStr">
        <x:is>
          <x:t xml:space="preserve">Cap Color</x:t>
        </x:is>
      </x:c>
      <x:c r="M1" s="363" t="inlineStr">
        <x:is>
          <x:t xml:space="preserve">Crimp Color</x:t>
        </x:is>
      </x:c>
      <x:c r="N1" s="363" t="inlineStr">
        <x:is>
          <x:t xml:space="preserve">Notes</x:t>
        </x:is>
      </x:c>
    </x:row>
    <x:row r="2">
      <x:c r="A2" s="361" t="n">
        <x:v>1</x:v>
      </x:c>
      <x:c r="B2" s="361" t="inlineStr">
        <x:is>
          <x:t xml:space="preserve">COA-0005</x:t>
        </x:is>
      </x:c>
      <x:c r="C2" s="361" t="inlineStr">
        <x:is>
          <x:t xml:space="preserve">Retatrutide</x:t>
        </x:is>
      </x:c>
      <x:c r="D2" s="361" t="inlineStr">
        <x:is>
          <x:t xml:space="preserve">GLP-1 / Weight</x:t>
        </x:is>
      </x:c>
      <x:c r="E2" s="361" t="n">
        <x:v>10</x:v>
      </x:c>
      <x:c r="F2" s="361" t="n">
        <x:v>11.77</x:v>
      </x:c>
      <x:c r="G2" s="364" t="n">
        <x:v>0.177</x:v>
      </x:c>
      <x:c r="H2" s="362" t="n">
        <x:v>99.96299999999999</x:v>
      </x:c>
      <x:c r="I2" s="365" t="inlineStr">
        <x:is>
          <x:t xml:space="preserve">Overfilled</x:t>
        </x:is>
      </x:c>
      <x:c r="J2" s="361" t="inlineStr">
        <x:is>
          <x:t xml:space="preserve">Kovera Labs</x:t>
        </x:is>
      </x:c>
      <x:c r="K2" s="366" t="n">
        <x:v>46117</x:v>
      </x:c>
      <x:c r="L2" s="368" t="inlineStr">
        <x:is>
          <x:t xml:space="preserve">Not Listed</x:t>
        </x:is>
      </x:c>
      <x:c r="M2" s="368" t="inlineStr">
        <x:is>
          <x:t xml:space="preserve">Not Listed</x:t>
        </x:is>
      </x:c>
      <x:c r="N2" s="361" t="inlineStr">
        <x:is>
          <x:t xml:space="preserve">Trivial-3R / Retatrutide; batch avg</x:t>
        </x:is>
      </x:c>
    </x:row>
    <x:row r="3">
      <x:c r="A3" s="361" t="n">
        <x:v>2</x:v>
      </x:c>
      <x:c r="B3" s="361" t="inlineStr">
        <x:is>
          <x:t xml:space="preserve">COA-0019</x:t>
        </x:is>
      </x:c>
      <x:c r="C3" s="361" t="inlineStr">
        <x:is>
          <x:t xml:space="preserve">SS-31</x:t>
        </x:is>
      </x:c>
      <x:c r="D3" s="361" t="inlineStr">
        <x:is>
          <x:t xml:space="preserve">Metabolic / Mito</x:t>
        </x:is>
      </x:c>
      <x:c r="E3" s="361" t="n">
        <x:v>10</x:v>
      </x:c>
      <x:c r="F3" s="361" t="n">
        <x:v>8.880000000000001</x:v>
      </x:c>
      <x:c r="G3" s="364" t="n">
        <x:v>-0.1119999999999999</x:v>
      </x:c>
      <x:c r="H3" s="362" t="n">
        <x:v>99.95</x:v>
      </x:c>
      <x:c r="I3" s="374" t="inlineStr">
        <x:is>
          <x:t xml:space="preserve">Underfilled</x:t>
        </x:is>
      </x:c>
      <x:c r="J3" s="361" t="inlineStr">
        <x:is>
          <x:t xml:space="preserve">Janoshik</x:t>
        </x:is>
      </x:c>
      <x:c r="K3" s="366" t="n">
        <x:v>46155</x:v>
      </x:c>
      <x:c r="L3" s="368" t="inlineStr">
        <x:is>
          <x:t xml:space="preserve">Not Listed</x:t>
        </x:is>
      </x:c>
      <x:c r="M3" s="368" t="inlineStr">
        <x:is>
          <x:t xml:space="preserve">Not Listed</x:t>
        </x:is>
      </x:c>
      <x:c r="N3" s="361" t="inlineStr">
        <x:is>
          <x:t xml:space="preserve">Elamipretide; tested twice</x:t>
        </x:is>
      </x:c>
    </x:row>
    <x:row r="4">
      <x:c r="A4" s="361" t="n">
        <x:v>3</x:v>
      </x:c>
      <x:c r="B4" s="361" t="inlineStr">
        <x:is>
          <x:t xml:space="preserve">COA-0021</x:t>
        </x:is>
      </x:c>
      <x:c r="C4" s="361" t="inlineStr">
        <x:is>
          <x:t xml:space="preserve">CJC-1295 No DAC</x:t>
        </x:is>
      </x:c>
      <x:c r="D4" s="361" t="inlineStr">
        <x:is>
          <x:t xml:space="preserve">Growth Hormone Support</x:t>
        </x:is>
      </x:c>
      <x:c r="E4" s="361" t="n">
        <x:v>10</x:v>
      </x:c>
      <x:c r="F4" s="361" t="n">
        <x:v>9.66</x:v>
      </x:c>
      <x:c r="G4" s="364" t="n">
        <x:v>-0.03399999999999999</x:v>
      </x:c>
      <x:c r="H4" s="362" t="n">
        <x:v>99.89700000000001</x:v>
      </x:c>
      <x:c r="I4" s="369" t="inlineStr">
        <x:is>
          <x:t xml:space="preserve">On label</x:t>
        </x:is>
      </x:c>
      <x:c r="J4" s="361" t="inlineStr">
        <x:is>
          <x:t xml:space="preserve">Janoshik</x:t>
        </x:is>
      </x:c>
      <x:c r="K4" s="366" t="n">
        <x:v>46156</x:v>
      </x:c>
      <x:c r="L4" s="368" t="inlineStr">
        <x:is>
          <x:t xml:space="preserve">Not Listed</x:t>
        </x:is>
      </x:c>
      <x:c r="M4" s="368" t="inlineStr">
        <x:is>
          <x:t xml:space="preserve">Not Listed</x:t>
        </x:is>
      </x:c>
      <x:c r="N4" s="361" t="inlineStr">
        <x:is>
          <x:t xml:space="preserve">Mod GRF 1-29</x:t>
        </x:is>
      </x:c>
    </x:row>
    <x:row r="5">
      <x:c r="A5" s="361" t="n">
        <x:v>4</x:v>
      </x:c>
      <x:c r="B5" s="361" t="inlineStr">
        <x:is>
          <x:t xml:space="preserve">COA-0012</x:t>
        </x:is>
      </x:c>
      <x:c r="C5" s="361" t="inlineStr">
        <x:is>
          <x:t xml:space="preserve">AOD-9604</x:t>
        </x:is>
      </x:c>
      <x:c r="D5" s="361" t="inlineStr">
        <x:is>
          <x:t xml:space="preserve">Metabolic / Fat Loss</x:t>
        </x:is>
      </x:c>
      <x:c r="E5" s="361" t="n">
        <x:v>5</x:v>
      </x:c>
      <x:c r="F5" s="361" t="n">
        <x:v>5.95</x:v>
      </x:c>
      <x:c r="G5" s="364" t="n">
        <x:v>0.19</x:v>
      </x:c>
      <x:c r="H5" s="362" t="n">
        <x:v>99.883</x:v>
      </x:c>
      <x:c r="I5" s="365" t="inlineStr">
        <x:is>
          <x:t xml:space="preserve">Overfilled</x:t>
        </x:is>
      </x:c>
      <x:c r="J5" s="361" t="inlineStr">
        <x:is>
          <x:t xml:space="preserve">Janoshik</x:t>
        </x:is>
      </x:c>
      <x:c r="K5" s="366" t="n">
        <x:v>46156</x:v>
      </x:c>
      <x:c r="L5" s="368" t="inlineStr">
        <x:is>
          <x:t xml:space="preserve">Not Listed</x:t>
        </x:is>
      </x:c>
      <x:c r="M5" s="368" t="inlineStr">
        <x:is>
          <x:t xml:space="preserve">Not Listed</x:t>
        </x:is>
      </x:c>
      <x:c r="N5" s="361" t="inlineStr">
        <x:is>
          <x:t xml:space="preserve">rHGH fragment / AOD-9604</x:t>
        </x:is>
      </x:c>
    </x:row>
    <x:row r="6">
      <x:c r="A6" s="361" t="n">
        <x:v>5</x:v>
      </x:c>
      <x:c r="B6" s="361" t="inlineStr">
        <x:is>
          <x:t xml:space="preserve">COA-0024</x:t>
        </x:is>
      </x:c>
      <x:c r="C6" s="361" t="inlineStr">
        <x:is>
          <x:t xml:space="preserve">Retatrutide</x:t>
        </x:is>
      </x:c>
      <x:c r="D6" s="361" t="inlineStr">
        <x:is>
          <x:t xml:space="preserve">GLP-1 / Weight</x:t>
        </x:is>
      </x:c>
      <x:c r="E6" s="361" t="n">
        <x:v>20</x:v>
      </x:c>
      <x:c r="F6" s="361" t="n">
        <x:v>22.47</x:v>
      </x:c>
      <x:c r="G6" s="364" t="n">
        <x:v>0.1234999999999999</x:v>
      </x:c>
      <x:c r="H6" s="362" t="n">
        <x:v>99.86</x:v>
      </x:c>
      <x:c r="I6" s="365" t="inlineStr">
        <x:is>
          <x:t xml:space="preserve">Overfilled</x:t>
        </x:is>
      </x:c>
      <x:c r="J6" s="361" t="inlineStr">
        <x:is>
          <x:t xml:space="preserve">Freedom Diagnostics</x:t>
        </x:is>
      </x:c>
      <x:c r="K6" s="366" t="inlineStr">
        <x:is>
          <x:t xml:space="preserve">2026-06-14</x:t>
        </x:is>
      </x:c>
      <x:c r="L6" s="375" t="inlineStr">
        <x:is>
          <x:t xml:space="preserve">Clear Green</x:t>
        </x:is>
      </x:c>
      <x:c r="M6" s="368" t="inlineStr">
        <x:is>
          <x:t xml:space="preserve">Not Listed</x:t>
        </x:is>
      </x:c>
      <x:c r="N6" s="361" t="inlineStr">
        <x:is>
          <x:t xml:space="preserve">Retatrutide 20mg, separate batch from existing Retatrutide records; received 06/11/2026, reported 06/14/2026.</x:t>
        </x:is>
      </x:c>
    </x:row>
    <x:row r="7">
      <x:c r="A7" s="361" t="n">
        <x:v>6</x:v>
      </x:c>
      <x:c r="B7" s="361" t="inlineStr">
        <x:is>
          <x:t xml:space="preserve">COA-0013</x:t>
        </x:is>
      </x:c>
      <x:c r="C7" s="361" t="inlineStr">
        <x:is>
          <x:t xml:space="preserve">MOTS-C</x:t>
        </x:is>
      </x:c>
      <x:c r="D7" s="361" t="inlineStr">
        <x:is>
          <x:t xml:space="preserve">Metabolic / Mito</x:t>
        </x:is>
      </x:c>
      <x:c r="E7" s="361" t="n">
        <x:v>10</x:v>
      </x:c>
      <x:c r="F7" s="361" t="n">
        <x:v>10.58</x:v>
      </x:c>
      <x:c r="G7" s="364" t="n">
        <x:v>0.05800000000000001</x:v>
      </x:c>
      <x:c r="H7" s="362" t="n">
        <x:v>99.84699999999999</x:v>
      </x:c>
      <x:c r="I7" s="365" t="inlineStr">
        <x:is>
          <x:t xml:space="preserve">Overfilled</x:t>
        </x:is>
      </x:c>
      <x:c r="J7" s="361" t="inlineStr">
        <x:is>
          <x:t xml:space="preserve">Janoshik</x:t>
        </x:is>
      </x:c>
      <x:c r="K7" s="366" t="n">
        <x:v>46057</x:v>
      </x:c>
      <x:c r="L7" s="368" t="inlineStr">
        <x:is>
          <x:t xml:space="preserve">Not Listed</x:t>
        </x:is>
      </x:c>
      <x:c r="M7" s="368" t="inlineStr">
        <x:is>
          <x:t xml:space="preserve">Not Listed</x:t>
        </x:is>
      </x:c>
      <x:c r="N7" s="361" t="inlineStr">
        <x:is>
          <x:t xml:space="preserve">10 mg label</x:t>
        </x:is>
      </x:c>
    </x:row>
    <x:row r="8">
      <x:c r="A8" s="361" t="n">
        <x:v>7</x:v>
      </x:c>
      <x:c r="B8" s="361" t="inlineStr">
        <x:is>
          <x:t xml:space="preserve">COA-0010</x:t>
        </x:is>
      </x:c>
      <x:c r="C8" s="361" t="inlineStr">
        <x:is>
          <x:t xml:space="preserve">Tirzepatide</x:t>
        </x:is>
      </x:c>
      <x:c r="D8" s="361" t="inlineStr">
        <x:is>
          <x:t xml:space="preserve">GLP-1 / Weight</x:t>
        </x:is>
      </x:c>
      <x:c r="E8" s="361" t="n">
        <x:v>30</x:v>
      </x:c>
      <x:c r="F8" s="361" t="n">
        <x:v>32.5</x:v>
      </x:c>
      <x:c r="G8" s="364" t="n">
        <x:v>0.08333333333333333</x:v>
      </x:c>
      <x:c r="H8" s="362" t="n">
        <x:v>99.84</x:v>
      </x:c>
      <x:c r="I8" s="365" t="inlineStr">
        <x:is>
          <x:t xml:space="preserve">Overfilled</x:t>
        </x:is>
      </x:c>
      <x:c r="J8" s="361" t="inlineStr">
        <x:is>
          <x:t xml:space="preserve">Janoshik</x:t>
        </x:is>
      </x:c>
      <x:c r="K8" s="366" t="n">
        <x:v>46059</x:v>
      </x:c>
      <x:c r="L8" s="368" t="inlineStr">
        <x:is>
          <x:t xml:space="preserve">Not Listed</x:t>
        </x:is>
      </x:c>
      <x:c r="M8" s="368" t="inlineStr">
        <x:is>
          <x:t xml:space="preserve">Not Listed</x:t>
        </x:is>
      </x:c>
      <x:c r="N8" s="361" t="inlineStr">
        <x:is>
          <x:t xml:space="preserve">30 mg label</x:t>
        </x:is>
      </x:c>
    </x:row>
    <x:row r="9">
      <x:c r="A9" s="361" t="n">
        <x:v>8</x:v>
      </x:c>
      <x:c r="B9" s="361" t="inlineStr">
        <x:is>
          <x:t xml:space="preserve">COA-0022</x:t>
        </x:is>
      </x:c>
      <x:c r="C9" s="361" t="inlineStr">
        <x:is>
          <x:t xml:space="preserve">Retatrutide</x:t>
        </x:is>
      </x:c>
      <x:c r="D9" s="361" t="inlineStr">
        <x:is>
          <x:t xml:space="preserve">GLP-1 / Weight</x:t>
        </x:is>
      </x:c>
      <x:c r="E9" s="361" t="n">
        <x:v>30</x:v>
      </x:c>
      <x:c r="F9" s="361" t="n">
        <x:v>34.77</x:v>
      </x:c>
      <x:c r="G9" s="364" t="n">
        <x:v>0.1590000000000001</x:v>
      </x:c>
      <x:c r="H9" s="362" t="n">
        <x:v>99.825</x:v>
      </x:c>
      <x:c r="I9" s="365" t="inlineStr">
        <x:is>
          <x:t xml:space="preserve">Overfilled</x:t>
        </x:is>
      </x:c>
      <x:c r="J9" s="361" t="inlineStr">
        <x:is>
          <x:t xml:space="preserve">Janoshik</x:t>
        </x:is>
      </x:c>
      <x:c r="K9" s="366" t="n">
        <x:v>46156</x:v>
      </x:c>
      <x:c r="L9" s="368" t="inlineStr">
        <x:is>
          <x:t xml:space="preserve">Not Listed</x:t>
        </x:is>
      </x:c>
      <x:c r="M9" s="368" t="inlineStr">
        <x:is>
          <x:t xml:space="preserve">Not Listed</x:t>
        </x:is>
      </x:c>
      <x:c r="N9" s="361" t="inlineStr">
        <x:is>
          <x:t xml:space="preserve">RT30 Retatrutide 30mg; common GLP-1 blind test; overfilled.</x:t>
        </x:is>
      </x:c>
    </x:row>
    <x:row r="10">
      <x:c r="A10" s="361" t="n">
        <x:v>9</x:v>
      </x:c>
      <x:c r="B10" s="361" t="inlineStr">
        <x:is>
          <x:t xml:space="preserve">COA-0015</x:t>
        </x:is>
      </x:c>
      <x:c r="C10" s="361" t="inlineStr">
        <x:is>
          <x:t xml:space="preserve">MOTS-C</x:t>
        </x:is>
      </x:c>
      <x:c r="D10" s="361" t="inlineStr">
        <x:is>
          <x:t xml:space="preserve">Metabolic / Mito</x:t>
        </x:is>
      </x:c>
      <x:c r="E10" s="361" t="n">
        <x:v>40</x:v>
      </x:c>
      <x:c r="F10" s="361" t="n">
        <x:v>38.96</x:v>
      </x:c>
      <x:c r="G10" s="364" t="n">
        <x:v>-0.02599999999999998</x:v>
      </x:c>
      <x:c r="H10" s="362" t="n">
        <x:v>99.813</x:v>
      </x:c>
      <x:c r="I10" s="369" t="inlineStr">
        <x:is>
          <x:t xml:space="preserve">On label</x:t>
        </x:is>
      </x:c>
      <x:c r="J10" s="361" t="inlineStr">
        <x:is>
          <x:t xml:space="preserve">Janoshik</x:t>
        </x:is>
      </x:c>
      <x:c r="K10" s="366" t="n">
        <x:v>46057</x:v>
      </x:c>
      <x:c r="L10" s="368" t="inlineStr">
        <x:is>
          <x:t xml:space="preserve">Not Listed</x:t>
        </x:is>
      </x:c>
      <x:c r="M10" s="368" t="inlineStr">
        <x:is>
          <x:t xml:space="preserve">Not Listed</x:t>
        </x:is>
      </x:c>
      <x:c r="N10" s="361" t="inlineStr">
        <x:is>
          <x:t xml:space="preserve">40 mg label</x:t>
        </x:is>
      </x:c>
    </x:row>
    <x:row r="11">
      <x:c r="A11" s="361" t="n">
        <x:v>10</x:v>
      </x:c>
      <x:c r="B11" s="361" t="inlineStr">
        <x:is>
          <x:t xml:space="preserve">COA-0009</x:t>
        </x:is>
      </x:c>
      <x:c r="C11" s="361" t="inlineStr">
        <x:is>
          <x:t xml:space="preserve">Tirzepatide</x:t>
        </x:is>
      </x:c>
      <x:c r="D11" s="361" t="inlineStr">
        <x:is>
          <x:t xml:space="preserve">GLP-1 / Weight</x:t>
        </x:is>
      </x:c>
      <x:c r="E11" s="361" t="n">
        <x:v>60</x:v>
      </x:c>
      <x:c r="F11" s="361" t="n">
        <x:v>65.09999999999999</x:v>
      </x:c>
      <x:c r="G11" s="364" t="n">
        <x:v>0.08499999999999991</x:v>
      </x:c>
      <x:c r="H11" s="362" t="n">
        <x:v>99.8</x:v>
      </x:c>
      <x:c r="I11" s="365" t="inlineStr">
        <x:is>
          <x:t xml:space="preserve">Overfilled</x:t>
        </x:is>
      </x:c>
      <x:c r="J11" s="361" t="inlineStr">
        <x:is>
          <x:t xml:space="preserve">BT Labs</x:t>
        </x:is>
      </x:c>
      <x:c r="K11" s="366" t="n">
        <x:v>46133</x:v>
      </x:c>
      <x:c r="L11" s="373" t="inlineStr">
        <x:is>
          <x:t xml:space="preserve">Gold</x:t>
        </x:is>
      </x:c>
      <x:c r="M11" s="368" t="inlineStr">
        <x:is>
          <x:t xml:space="preserve">Not Listed</x:t>
        </x:is>
      </x:c>
      <x:c r="N11" s="361" t="inlineStr">
        <x:is>
          <x:t xml:space="preserve">60 mg label; 108.5% potency</x:t>
        </x:is>
      </x:c>
    </x:row>
    <x:row r="12">
      <x:c r="A12" s="361" t="n">
        <x:v>11</x:v>
      </x:c>
      <x:c r="B12" s="361" t="inlineStr">
        <x:is>
          <x:t xml:space="preserve">COA-0023</x:t>
        </x:is>
      </x:c>
      <x:c r="C12" s="361" t="inlineStr">
        <x:is>
          <x:t xml:space="preserve">Tirzepatide</x:t>
        </x:is>
      </x:c>
      <x:c r="D12" s="361" t="inlineStr">
        <x:is>
          <x:t xml:space="preserve">GLP-1 / Weight</x:t>
        </x:is>
      </x:c>
      <x:c r="E12" s="361" t="n">
        <x:v>15</x:v>
      </x:c>
      <x:c r="F12" s="361" t="n">
        <x:v>16.18</x:v>
      </x:c>
      <x:c r="G12" s="364" t="n">
        <x:v>0.07866666666666665</x:v>
      </x:c>
      <x:c r="H12" s="362" t="n">
        <x:v>99.73099999999999</x:v>
      </x:c>
      <x:c r="I12" s="365" t="inlineStr">
        <x:is>
          <x:t xml:space="preserve">Overfilled</x:t>
        </x:is>
      </x:c>
      <x:c r="J12" s="361" t="inlineStr">
        <x:is>
          <x:t xml:space="preserve">Janoshik</x:t>
        </x:is>
      </x:c>
      <x:c r="K12" s="366" t="n">
        <x:v>46156</x:v>
      </x:c>
      <x:c r="L12" s="368" t="inlineStr">
        <x:is>
          <x:t xml:space="preserve">Not Listed</x:t>
        </x:is>
      </x:c>
      <x:c r="M12" s="368" t="inlineStr">
        <x:is>
          <x:t xml:space="preserve">Not Listed</x:t>
        </x:is>
      </x:c>
      <x:c r="N12" s="361" t="inlineStr">
        <x:is>
          <x:t xml:space="preserve">T15 Tirzepatide 15mg; common GLP-1 blind test; overfilled.</x:t>
        </x:is>
      </x:c>
    </x:row>
    <x:row r="13">
      <x:c r="A13" s="361" t="n">
        <x:v>12</x:v>
      </x:c>
      <x:c r="B13" s="361" t="inlineStr">
        <x:is>
          <x:t xml:space="preserve">COA-0007</x:t>
        </x:is>
      </x:c>
      <x:c r="C13" s="361" t="inlineStr">
        <x:is>
          <x:t xml:space="preserve">Tirzepatide</x:t>
        </x:is>
      </x:c>
      <x:c r="D13" s="361" t="inlineStr">
        <x:is>
          <x:t xml:space="preserve">GLP-1 / Weight</x:t>
        </x:is>
      </x:c>
      <x:c r="E13" s="361" t="n">
        <x:v>20</x:v>
      </x:c>
      <x:c r="F13" s="361" t="n">
        <x:v>26</x:v>
      </x:c>
      <x:c r="G13" s="364" t="n">
        <x:v>0.3</x:v>
      </x:c>
      <x:c r="H13" s="362" t="n">
        <x:v>99.7</x:v>
      </x:c>
      <x:c r="I13" s="365" t="inlineStr">
        <x:is>
          <x:t xml:space="preserve">Overfilled</x:t>
        </x:is>
      </x:c>
      <x:c r="J13" s="361" t="inlineStr">
        <x:is>
          <x:t xml:space="preserve">BT Labs</x:t>
        </x:is>
      </x:c>
      <x:c r="K13" s="366" t="n">
        <x:v>46133</x:v>
      </x:c>
      <x:c r="L13" s="371" t="inlineStr">
        <x:is>
          <x:t xml:space="preserve">Royal Blue</x:t>
        </x:is>
      </x:c>
      <x:c r="M13" s="368" t="inlineStr">
        <x:is>
          <x:t xml:space="preserve">Not Listed</x:t>
        </x:is>
      </x:c>
      <x:c r="N13" s="361" t="inlineStr">
        <x:is>
          <x:t xml:space="preserve">20 mg label; 130.1% potency</x:t>
        </x:is>
      </x:c>
    </x:row>
    <x:row r="14">
      <x:c r="A14" s="361" t="n">
        <x:v>13</x:v>
      </x:c>
      <x:c r="B14" s="361" t="inlineStr">
        <x:is>
          <x:t xml:space="preserve">COA-0008</x:t>
        </x:is>
      </x:c>
      <x:c r="C14" s="361" t="inlineStr">
        <x:is>
          <x:t xml:space="preserve">Tirzepatide</x:t>
        </x:is>
      </x:c>
      <x:c r="D14" s="361" t="inlineStr">
        <x:is>
          <x:t xml:space="preserve">GLP-1 / Weight</x:t>
        </x:is>
      </x:c>
      <x:c r="E14" s="361" t="n">
        <x:v>40</x:v>
      </x:c>
      <x:c r="F14" s="361" t="n">
        <x:v>46.6</x:v>
      </x:c>
      <x:c r="G14" s="364" t="n">
        <x:v>0.165</x:v>
      </x:c>
      <x:c r="H14" s="362" t="n">
        <x:v>99.7</x:v>
      </x:c>
      <x:c r="I14" s="365" t="inlineStr">
        <x:is>
          <x:t xml:space="preserve">Overfilled</x:t>
        </x:is>
      </x:c>
      <x:c r="J14" s="361" t="inlineStr">
        <x:is>
          <x:t xml:space="preserve">BT Labs</x:t>
        </x:is>
      </x:c>
      <x:c r="K14" s="366" t="n">
        <x:v>46106</x:v>
      </x:c>
      <x:c r="L14" s="372" t="inlineStr">
        <x:is>
          <x:t xml:space="preserve">Gray</x:t>
        </x:is>
      </x:c>
      <x:c r="M14" s="368" t="inlineStr">
        <x:is>
          <x:t xml:space="preserve">Not Listed</x:t>
        </x:is>
      </x:c>
      <x:c r="N14" s="361" t="inlineStr">
        <x:is>
          <x:t xml:space="preserve">40 mg label; 116.4% potency</x:t>
        </x:is>
      </x:c>
    </x:row>
    <x:row r="15">
      <x:c r="A15" s="361" t="n">
        <x:v>14</x:v>
      </x:c>
      <x:c r="B15" s="361" t="inlineStr">
        <x:is>
          <x:t xml:space="preserve">COA-0003</x:t>
        </x:is>
      </x:c>
      <x:c r="C15" s="361" t="inlineStr">
        <x:is>
          <x:t xml:space="preserve">Retatrutide</x:t>
        </x:is>
      </x:c>
      <x:c r="D15" s="361" t="inlineStr">
        <x:is>
          <x:t xml:space="preserve">GLP-1 / Weight</x:t>
        </x:is>
      </x:c>
      <x:c r="E15" s="361" t="n">
        <x:v>5</x:v>
      </x:c>
      <x:c r="F15" s="361" t="n">
        <x:v>6.63</x:v>
      </x:c>
      <x:c r="G15" s="364" t="n">
        <x:v>0.326</x:v>
      </x:c>
      <x:c r="H15" s="362" t="n">
        <x:v>99.654</x:v>
      </x:c>
      <x:c r="I15" s="365" t="inlineStr">
        <x:is>
          <x:t xml:space="preserve">Overfilled</x:t>
        </x:is>
      </x:c>
      <x:c r="J15" s="361" t="inlineStr">
        <x:is>
          <x:t xml:space="preserve">Kovera Labs</x:t>
        </x:is>
      </x:c>
      <x:c r="K15" s="366" t="n">
        <x:v>46174</x:v>
      </x:c>
      <x:c r="L15" s="368" t="inlineStr">
        <x:is>
          <x:t xml:space="preserve">Not Listed</x:t>
        </x:is>
      </x:c>
      <x:c r="M15" s="368" t="inlineStr">
        <x:is>
          <x:t xml:space="preserve">Not Listed</x:t>
        </x:is>
      </x:c>
      <x:c r="N15" s="361" t="inlineStr">
        <x:is>
          <x:t xml:space="preserve">Heavy metals negative; endotoxin pass</x:t>
        </x:is>
      </x:c>
    </x:row>
    <x:row r="16">
      <x:c r="A16" s="361" t="n">
        <x:v>15</x:v>
      </x:c>
      <x:c r="B16" s="361" t="inlineStr">
        <x:is>
          <x:t xml:space="preserve">COA-0020</x:t>
        </x:is>
      </x:c>
      <x:c r="C16" s="361" t="inlineStr">
        <x:is>
          <x:t xml:space="preserve">KPV</x:t>
        </x:is>
      </x:c>
      <x:c r="D16" s="361" t="inlineStr">
        <x:is>
          <x:t xml:space="preserve">Other</x:t>
        </x:is>
      </x:c>
      <x:c r="E16" s="361" t="n">
        <x:v>10</x:v>
      </x:c>
      <x:c r="F16" s="361" t="n">
        <x:v>12.19</x:v>
      </x:c>
      <x:c r="G16" s="364" t="n">
        <x:v>0.2189999999999999</x:v>
      </x:c>
      <x:c r="H16" s="362" t="n">
        <x:v>99.589</x:v>
      </x:c>
      <x:c r="I16" s="365" t="inlineStr">
        <x:is>
          <x:t xml:space="preserve">Overfilled</x:t>
        </x:is>
      </x:c>
      <x:c r="J16" s="361" t="inlineStr">
        <x:is>
          <x:t xml:space="preserve">Janoshik</x:t>
        </x:is>
      </x:c>
      <x:c r="K16" s="366" t="n">
        <x:v>46057</x:v>
      </x:c>
      <x:c r="L16" s="368" t="inlineStr">
        <x:is>
          <x:t xml:space="preserve">Not Listed</x:t>
        </x:is>
      </x:c>
      <x:c r="M16" s="368" t="inlineStr">
        <x:is>
          <x:t xml:space="preserve">Not Listed</x:t>
        </x:is>
      </x:c>
      <x:c r="N16" s="361" t="inlineStr">
        <x:is>
          <x:t xml:space="preserve">Overfilled</x:t>
        </x:is>
      </x:c>
    </x:row>
    <x:row r="17">
      <x:c r="A17" s="361" t="n">
        <x:v>16</x:v>
      </x:c>
      <x:c r="B17" s="361" t="inlineStr">
        <x:is>
          <x:t xml:space="preserve">COA-0001</x:t>
        </x:is>
      </x:c>
      <x:c r="C17" s="361" t="inlineStr">
        <x:is>
          <x:t xml:space="preserve">Retatrutide</x:t>
        </x:is>
      </x:c>
      <x:c r="D17" s="361" t="inlineStr">
        <x:is>
          <x:t xml:space="preserve">GLP-1 / Weight</x:t>
        </x:is>
      </x:c>
      <x:c r="E17" s="361" t="n">
        <x:v>10</x:v>
      </x:c>
      <x:c r="F17" s="361" t="n">
        <x:v>11.8</x:v>
      </x:c>
      <x:c r="G17" s="364" t="n">
        <x:v>0.1800000000000001</x:v>
      </x:c>
      <x:c r="H17" s="362" t="n">
        <x:v>99.51600000000001</x:v>
      </x:c>
      <x:c r="I17" s="365" t="inlineStr">
        <x:is>
          <x:t xml:space="preserve">Overfilled</x:t>
        </x:is>
      </x:c>
      <x:c r="J17" s="361" t="inlineStr">
        <x:is>
          <x:t xml:space="preserve">Janoshik</x:t>
        </x:is>
      </x:c>
      <x:c r="K17" s="366" t="n">
        <x:v>46156</x:v>
      </x:c>
      <x:c r="L17" s="368" t="inlineStr">
        <x:is>
          <x:t xml:space="preserve">Not Listed</x:t>
        </x:is>
      </x:c>
      <x:c r="M17" s="368" t="inlineStr">
        <x:is>
          <x:t xml:space="preserve">Not Listed</x:t>
        </x:is>
      </x:c>
      <x:c r="N17" s="361" t="inlineStr">
        <x:is>
          <x:t xml:space="preserve">RT10 - common GLP-1 blind test; overfilled</x:t>
        </x:is>
      </x:c>
    </x:row>
    <x:row r="18">
      <x:c r="A18" s="361" t="n">
        <x:v>17</x:v>
      </x:c>
      <x:c r="B18" s="361" t="inlineStr">
        <x:is>
          <x:t xml:space="preserve">COA-0006</x:t>
        </x:is>
      </x:c>
      <x:c r="C18" s="361" t="inlineStr">
        <x:is>
          <x:t xml:space="preserve">Retatrutide</x:t>
        </x:is>
      </x:c>
      <x:c r="D18" s="361" t="inlineStr">
        <x:is>
          <x:t xml:space="preserve">GLP-1 / Weight</x:t>
        </x:is>
      </x:c>
      <x:c r="E18" s="361" t="n"/>
      <x:c r="F18" s="361" t="n">
        <x:v>22.47</x:v>
      </x:c>
      <x:c r="G18" s="364" t="e">
        <x:f>IF(OR(D7="",E7=""),"",E7/D7-1)</x:f>
      </x:c>
      <x:c r="H18" s="362" t="n">
        <x:v>99.5</x:v>
      </x:c>
      <x:c r="I18" s="370" t="str">
        <x:f>IF(G7="","Review",IF(G7&gt;0.03,"Overfilled",IF(G7&lt;-0.03,"Underfilled","On label")))</x:f>
        <x:v>Overfilled</x:v>
      </x:c>
      <x:c r="J18" s="361" t="inlineStr">
        <x:is>
          <x:t xml:space="preserve">Aminos Analytics</x:t>
        </x:is>
      </x:c>
      <x:c r="K18" s="366" t="n">
        <x:v>46146</x:v>
      </x:c>
      <x:c r="L18" s="368" t="inlineStr">
        <x:is>
          <x:t xml:space="preserve">Not Listed</x:t>
        </x:is>
      </x:c>
      <x:c r="M18" s="368" t="inlineStr">
        <x:is>
          <x:t xml:space="preserve">Not Listed</x:t>
        </x:is>
      </x:c>
      <x:c r="N18" s="361" t="inlineStr">
        <x:is>
          <x:t xml:space="preserve">Labeled quantity unclear from image</x:t>
        </x:is>
      </x:c>
    </x:row>
    <x:row r="19">
      <x:c r="A19" s="361" t="n">
        <x:v>18</x:v>
      </x:c>
      <x:c r="B19" s="361" t="inlineStr">
        <x:is>
          <x:t xml:space="preserve">COA-0004</x:t>
        </x:is>
      </x:c>
      <x:c r="C19" s="361" t="inlineStr">
        <x:is>
          <x:t xml:space="preserve">Retatrutide</x:t>
        </x:is>
      </x:c>
      <x:c r="D19" s="361" t="inlineStr">
        <x:is>
          <x:t xml:space="preserve">GLP-1 / Weight</x:t>
        </x:is>
      </x:c>
      <x:c r="E19" s="361" t="n">
        <x:v>15</x:v>
      </x:c>
      <x:c r="F19" s="361" t="n">
        <x:v>17.93</x:v>
      </x:c>
      <x:c r="G19" s="364" t="n">
        <x:v>0.1953333333333333</x:v>
      </x:c>
      <x:c r="H19" s="362" t="n">
        <x:v>99.491</x:v>
      </x:c>
      <x:c r="I19" s="365" t="inlineStr">
        <x:is>
          <x:t xml:space="preserve">Overfilled</x:t>
        </x:is>
      </x:c>
      <x:c r="J19" s="361" t="inlineStr">
        <x:is>
          <x:t xml:space="preserve">Kovera Labs</x:t>
        </x:is>
      </x:c>
      <x:c r="K19" s="366" t="n">
        <x:v>46175</x:v>
      </x:c>
      <x:c r="L19" s="368" t="inlineStr">
        <x:is>
          <x:t xml:space="preserve">Not Listed</x:t>
        </x:is>
      </x:c>
      <x:c r="M19" s="368" t="inlineStr">
        <x:is>
          <x:t xml:space="preserve">Not Listed</x:t>
        </x:is>
      </x:c>
      <x:c r="N19" s="361" t="inlineStr">
        <x:is>
          <x:t xml:space="preserve">Heavy metals negative; endotoxin pass</x:t>
        </x:is>
      </x:c>
    </x:row>
    <x:row r="20">
      <x:c r="A20" s="361" t="n">
        <x:v>19</x:v>
      </x:c>
      <x:c r="B20" s="361" t="inlineStr">
        <x:is>
          <x:t xml:space="preserve">COA-0002</x:t>
        </x:is>
      </x:c>
      <x:c r="C20" s="361" t="inlineStr">
        <x:is>
          <x:t xml:space="preserve">Retatrutide</x:t>
        </x:is>
      </x:c>
      <x:c r="D20" s="361" t="inlineStr">
        <x:is>
          <x:t xml:space="preserve">GLP-1 / Weight</x:t>
        </x:is>
      </x:c>
      <x:c r="E20" s="361" t="n">
        <x:v>10</x:v>
      </x:c>
      <x:c r="F20" s="361" t="n">
        <x:v>10</x:v>
      </x:c>
      <x:c r="G20" s="364" t="n">
        <x:v>0</x:v>
      </x:c>
      <x:c r="H20" s="362" t="n">
        <x:v>99.369</x:v>
      </x:c>
      <x:c r="I20" s="369" t="inlineStr">
        <x:is>
          <x:t xml:space="preserve">On label</x:t>
        </x:is>
      </x:c>
      <x:c r="J20" s="361" t="inlineStr">
        <x:is>
          <x:t xml:space="preserve">Janoshik</x:t>
        </x:is>
      </x:c>
      <x:c r="K20" s="366" t="n">
        <x:v>46057</x:v>
      </x:c>
      <x:c r="L20" s="368" t="inlineStr">
        <x:is>
          <x:t xml:space="preserve">Not Listed</x:t>
        </x:is>
      </x:c>
      <x:c r="M20" s="368" t="inlineStr">
        <x:is>
          <x:t xml:space="preserve">Not Listed</x:t>
        </x:is>
      </x:c>
      <x:c r="N20" s="361" t="inlineStr">
        <x:is>
          <x:t xml:space="preserve">On label</x:t>
        </x:is>
      </x:c>
    </x:row>
    <x:row r="21">
      <x:c r="A21" s="361" t="n">
        <x:v>20</x:v>
      </x:c>
      <x:c r="B21" s="361" t="inlineStr">
        <x:is>
          <x:t xml:space="preserve">COA-0016</x:t>
        </x:is>
      </x:c>
      <x:c r="C21" s="361" t="inlineStr">
        <x:is>
          <x:t xml:space="preserve">TB-500</x:t>
        </x:is>
      </x:c>
      <x:c r="D21" s="361" t="inlineStr">
        <x:is>
          <x:t xml:space="preserve">Healing / Recovery</x:t>
        </x:is>
      </x:c>
      <x:c r="E21" s="361" t="n">
        <x:v>10</x:v>
      </x:c>
      <x:c r="F21" s="361" t="n">
        <x:v>11.38</x:v>
      </x:c>
      <x:c r="G21" s="364" t="n">
        <x:v>0.1380000000000001</x:v>
      </x:c>
      <x:c r="H21" s="362" t="n">
        <x:v>99.08499999999999</x:v>
      </x:c>
      <x:c r="I21" s="365" t="inlineStr">
        <x:is>
          <x:t xml:space="preserve">Overfilled</x:t>
        </x:is>
      </x:c>
      <x:c r="J21" s="361" t="inlineStr">
        <x:is>
          <x:t xml:space="preserve">Janoshik</x:t>
        </x:is>
      </x:c>
      <x:c r="K21" s="366" t="n">
        <x:v>46155</x:v>
      </x:c>
      <x:c r="L21" s="368" t="inlineStr">
        <x:is>
          <x:t xml:space="preserve">Not Listed</x:t>
        </x:is>
      </x:c>
      <x:c r="M21" s="368" t="inlineStr">
        <x:is>
          <x:t xml:space="preserve">Not Listed</x:t>
        </x:is>
      </x:c>
      <x:c r="N21" s="361" t="inlineStr">
        <x:is>
          <x:t xml:space="preserve">TB-500 / TB4</x:t>
        </x:is>
      </x:c>
    </x:row>
    <x:row r="22">
      <x:c r="A22" s="361" t="n">
        <x:v>21</x:v>
      </x:c>
      <x:c r="B22" s="361" t="inlineStr">
        <x:is>
          <x:t xml:space="preserve">COA-0014</x:t>
        </x:is>
      </x:c>
      <x:c r="C22" s="361" t="inlineStr">
        <x:is>
          <x:t xml:space="preserve">MOTS-C</x:t>
        </x:is>
      </x:c>
      <x:c r="D22" s="361" t="inlineStr">
        <x:is>
          <x:t xml:space="preserve">Metabolic / Mito</x:t>
        </x:is>
      </x:c>
      <x:c r="E22" s="361" t="n">
        <x:v>10</x:v>
      </x:c>
      <x:c r="F22" s="361" t="n">
        <x:v>11.17</x:v>
      </x:c>
      <x:c r="G22" s="364" t="n">
        <x:v>0.117</x:v>
      </x:c>
      <x:c r="H22" s="362" t="n">
        <x:v>99.05500000000001</x:v>
      </x:c>
      <x:c r="I22" s="365" t="inlineStr">
        <x:is>
          <x:t xml:space="preserve">Overfilled</x:t>
        </x:is>
      </x:c>
      <x:c r="J22" s="361" t="inlineStr">
        <x:is>
          <x:t xml:space="preserve">Janoshik</x:t>
        </x:is>
      </x:c>
      <x:c r="K22" s="366" t="n">
        <x:v>46155</x:v>
      </x:c>
      <x:c r="L22" s="368" t="inlineStr">
        <x:is>
          <x:t xml:space="preserve">Not Listed</x:t>
        </x:is>
      </x:c>
      <x:c r="M22" s="368" t="inlineStr">
        <x:is>
          <x:t xml:space="preserve">Not Listed</x:t>
        </x:is>
      </x:c>
      <x:c r="N22" s="361" t="inlineStr">
        <x:is>
          <x:t xml:space="preserve">MS10 / MOTS-C</x:t>
        </x:is>
      </x:c>
    </x:row>
    <x:row r="23">
      <x:c r="A23" s="361" t="n">
        <x:v>22</x:v>
      </x:c>
      <x:c r="B23" s="361" t="inlineStr">
        <x:is>
          <x:t xml:space="preserve">COA-0011</x:t>
        </x:is>
      </x:c>
      <x:c r="C23" s="361" t="inlineStr">
        <x:is>
          <x:t xml:space="preserve">Cagrilintide</x:t>
        </x:is>
      </x:c>
      <x:c r="D23" s="361" t="inlineStr">
        <x:is>
          <x:t xml:space="preserve">GLP-1 / Weight</x:t>
        </x:is>
      </x:c>
      <x:c r="E23" s="361" t="n">
        <x:v>10</x:v>
      </x:c>
      <x:c r="F23" s="361" t="n">
        <x:v>10.47</x:v>
      </x:c>
      <x:c r="G23" s="364" t="n">
        <x:v>0.04700000000000006</x:v>
      </x:c>
      <x:c r="H23" s="362" t="n">
        <x:v>99.04000000000001</x:v>
      </x:c>
      <x:c r="I23" s="369" t="inlineStr">
        <x:is>
          <x:t xml:space="preserve">On label</x:t>
        </x:is>
      </x:c>
      <x:c r="J23" s="361" t="inlineStr">
        <x:is>
          <x:t xml:space="preserve">Janoshik</x:t>
        </x:is>
      </x:c>
      <x:c r="K23" s="366" t="n">
        <x:v>46155</x:v>
      </x:c>
      <x:c r="L23" s="368" t="inlineStr">
        <x:is>
          <x:t xml:space="preserve">Not Listed</x:t>
        </x:is>
      </x:c>
      <x:c r="M23" s="368" t="inlineStr">
        <x:is>
          <x:t xml:space="preserve">Not Listed</x:t>
        </x:is>
      </x:c>
      <x:c r="N23" s="361" t="inlineStr">
        <x:is>
          <x:t xml:space="preserve">Overfilled</x:t>
        </x:is>
      </x:c>
    </x:row>
    <x:row r="24">
      <x:c r="A24" s="361" t="n">
        <x:v>23</x:v>
      </x:c>
      <x:c r="B24" s="361" t="inlineStr">
        <x:is>
          <x:t xml:space="preserve">COA-0017</x:t>
        </x:is>
      </x:c>
      <x:c r="C24" s="361" t="inlineStr">
        <x:is>
          <x:t xml:space="preserve">BPC-157</x:t>
        </x:is>
      </x:c>
      <x:c r="D24" s="361" t="inlineStr">
        <x:is>
          <x:t xml:space="preserve">Healing / Recovery</x:t>
        </x:is>
      </x:c>
      <x:c r="E24" s="361" t="n">
        <x:v>5</x:v>
      </x:c>
      <x:c r="F24" s="361" t="n">
        <x:v>5.54</x:v>
      </x:c>
      <x:c r="G24" s="364" t="n">
        <x:v>0.108</x:v>
      </x:c>
      <x:c r="H24" s="362" t="n"/>
      <x:c r="I24" s="365" t="inlineStr">
        <x:is>
          <x:t xml:space="preserve">Overfilled</x:t>
        </x:is>
      </x:c>
      <x:c r="J24" s="361" t="inlineStr">
        <x:is>
          <x:t xml:space="preserve">Janoshik</x:t>
        </x:is>
      </x:c>
      <x:c r="K24" s="366" t="n">
        <x:v>46057</x:v>
      </x:c>
      <x:c r="L24" s="368" t="inlineStr">
        <x:is>
          <x:t xml:space="preserve">Not Listed</x:t>
        </x:is>
      </x:c>
      <x:c r="M24" s="368" t="inlineStr">
        <x:is>
          <x:t xml:space="preserve">Not Listed</x:t>
        </x:is>
      </x:c>
      <x:c r="N24" s="361" t="inlineStr">
        <x:is>
          <x:t xml:space="preserve">Blend report BPC5+TB5</x:t>
        </x:is>
      </x:c>
    </x:row>
    <x:row r="25">
      <x:c r="A25" s="361" t="n">
        <x:v>24</x:v>
      </x:c>
      <x:c r="B25" s="361" t="inlineStr">
        <x:is>
          <x:t xml:space="preserve">COA-0018</x:t>
        </x:is>
      </x:c>
      <x:c r="C25" s="361" t="inlineStr">
        <x:is>
          <x:t xml:space="preserve">TB-500</x:t>
        </x:is>
      </x:c>
      <x:c r="D25" s="361" t="inlineStr">
        <x:is>
          <x:t xml:space="preserve">Healing / Recovery</x:t>
        </x:is>
      </x:c>
      <x:c r="E25" s="361" t="n">
        <x:v>5</x:v>
      </x:c>
      <x:c r="F25" s="361" t="n">
        <x:v>5.43</x:v>
      </x:c>
      <x:c r="G25" s="364" t="n">
        <x:v>0.08599999999999994</x:v>
      </x:c>
      <x:c r="H25" s="362" t="n"/>
      <x:c r="I25" s="369" t="inlineStr">
        <x:is>
          <x:t xml:space="preserve">On label</x:t>
        </x:is>
      </x:c>
      <x:c r="J25" s="361" t="inlineStr">
        <x:is>
          <x:t xml:space="preserve">Janoshik</x:t>
        </x:is>
      </x:c>
      <x:c r="K25" s="366" t="n">
        <x:v>46057</x:v>
      </x:c>
      <x:c r="L25" s="368" t="inlineStr">
        <x:is>
          <x:t xml:space="preserve">Not Listed</x:t>
        </x:is>
      </x:c>
      <x:c r="M25" s="368" t="inlineStr">
        <x:is>
          <x:t xml:space="preserve">Not Listed</x:t>
        </x:is>
      </x:c>
      <x:c r="N25" s="361" t="inlineStr">
        <x:is>
          <x:t xml:space="preserve">Blend report BPC5+TB5</x:t>
        </x:is>
      </x:c>
    </x:row>
  </x:sheetData>
  <x:conditionalFormatting sqref="E2:E100">
    <x:cfRule type="colorScale" priority="1">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6cda59335a704e71"/>
  </x:tableParts>
</x:worksheet>
</file>

<file path=xl/worksheets/sheet4.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11" style="198" customWidth="1"/>
    <x:col min="12" max="12" width="21" style="198" customWidth="1"/>
    <x:col min="13" max="13" width="30" style="198" customWidth="1"/>
    <x:col min="14" max="14" width="18" style="198" customWidth="1"/>
    <x:col min="15" max="15" width="34" style="198" customWidth="1"/>
    <x:col min="16" max="16" width="31" style="198" customWidth="1"/>
    <x:col min="17" max="17" width="11" style="198" customWidth="1"/>
    <x:col min="18" max="18" width="40" style="198" customWidth="1"/>
    <x:col min="19" max="19" width="40" style="198" customWidth="1"/>
    <x:col min="20" max="20" width="13" style="198" customWidth="1"/>
    <x:col min="21" max="21" width="13" style="198" customWidth="1"/>
    <x:col min="22" max="22" width="40" style="198" customWidth="1"/>
    <x:col min="23" max="23" width="16" style="198" customWidth="1"/>
    <x:col min="24" max="24" width="16" style="198" customWidth="1"/>
    <x:col min="25" max="25" width="16" style="198" customWidth="1"/>
    <x:col min="26" max="26" width="16" style="198" customWidth="1"/>
  </x:cols>
  <x:sheetData>
    <x:row r="1">
      <x:c r="A1" s="363" t="inlineStr">
        <x:is>
          <x:t xml:space="preserve">COA ID</x:t>
        </x:is>
      </x:c>
      <x:c r="B1" s="363" t="inlineStr">
        <x:is>
          <x:t xml:space="preserve">Compound</x:t>
        </x:is>
      </x:c>
      <x:c r="C1" s="363" t="inlineStr">
        <x:is>
          <x:t xml:space="preserve">Compound Type</x:t>
        </x:is>
      </x:c>
      <x:c r="D1" s="363" t="inlineStr">
        <x:is>
          <x:t xml:space="preserve">Labeled Qty (mg)</x:t>
        </x:is>
      </x:c>
      <x:c r="E1" s="363" t="inlineStr">
        <x:is>
          <x:t xml:space="preserve">Actual Content (mg)</x:t>
        </x:is>
      </x:c>
      <x:c r="F1" s="363" t="inlineStr">
        <x:is>
          <x:t xml:space="preserve">Variance (mg)</x:t>
        </x:is>
      </x:c>
      <x:c r="G1" s="363" t="inlineStr">
        <x:is>
          <x:t xml:space="preserve">Variance %</x:t>
        </x:is>
      </x:c>
      <x:c r="H1" s="363" t="inlineStr">
        <x:is>
          <x:t xml:space="preserve">Purity %</x:t>
        </x:is>
      </x:c>
      <x:c r="I1" s="363" t="inlineStr">
        <x:is>
          <x:t xml:space="preserve">Status</x:t>
        </x:is>
      </x:c>
      <x:c r="J1" s="363" t="inlineStr">
        <x:is>
          <x:t xml:space="preserve">Lab</x:t>
        </x:is>
      </x:c>
      <x:c r="K1" s="363" t="inlineStr">
        <x:is>
          <x:t xml:space="preserve">Lab Match</x:t>
        </x:is>
      </x:c>
      <x:c r="L1" s="363" t="inlineStr">
        <x:is>
          <x:t xml:space="preserve">Test Date</x:t>
        </x:is>
      </x:c>
      <x:c r="M1" s="363" t="inlineStr">
        <x:is>
          <x:t xml:space="preserve">Report/Task #</x:t>
        </x:is>
      </x:c>
      <x:c r="N1" s="363" t="inlineStr">
        <x:is>
          <x:t xml:space="preserve">Verification Key</x:t>
        </x:is>
      </x:c>
      <x:c r="O1" s="363" t="inlineStr">
        <x:is>
          <x:t xml:space="preserve">Batch/Lot</x:t>
        </x:is>
      </x:c>
      <x:c r="P1" s="363" t="inlineStr">
        <x:is>
          <x:t xml:space="preserve">Source Type</x:t>
        </x:is>
      </x:c>
      <x:c r="Q1" s="363" t="inlineStr">
        <x:is>
          <x:t xml:space="preserve">Pass/Fail</x:t>
        </x:is>
      </x:c>
      <x:c r="R1" s="363" t="inlineStr">
        <x:is>
          <x:t xml:space="preserve">Duplicate Handling</x:t>
        </x:is>
      </x:c>
      <x:c r="S1" s="363" t="inlineStr">
        <x:is>
          <x:t xml:space="preserve">Notes</x:t>
        </x:is>
      </x:c>
      <x:c r="T1" s="363" t="inlineStr">
        <x:is>
          <x:t xml:space="preserve">Crimp Color</x:t>
        </x:is>
      </x:c>
      <x:c r="U1" s="363" t="inlineStr">
        <x:is>
          <x:t xml:space="preserve">Cap Color</x:t>
        </x:is>
      </x:c>
      <x:c r="V1" s="363" t="inlineStr">
        <x:is>
          <x:t xml:space="preserve">Closure Notes</x:t>
        </x:is>
      </x:c>
    </x:row>
    <x:row r="2">
      <x:c r="A2" s="361" t="inlineStr">
        <x:is>
          <x:t xml:space="preserve">COA-0001</x:t>
        </x:is>
      </x:c>
      <x:c r="B2" s="361" t="inlineStr">
        <x:is>
          <x:t xml:space="preserve">Retatrutide</x:t>
        </x:is>
      </x:c>
      <x:c r="C2" s="361" t="inlineStr">
        <x:is>
          <x:t xml:space="preserve">GLP-1 / Weight</x:t>
        </x:is>
      </x:c>
      <x:c r="D2" s="361" t="n">
        <x:v>10</x:v>
      </x:c>
      <x:c r="E2" s="361" t="n">
        <x:v>11.8</x:v>
      </x:c>
      <x:c r="F2" s="361" t="n">
        <x:v>1.800000000000001</x:v>
      </x:c>
      <x:c r="G2" s="364" t="n">
        <x:v>0.1800000000000001</x:v>
      </x:c>
      <x:c r="H2" s="362" t="n">
        <x:v>99.51600000000001</x:v>
      </x:c>
      <x:c r="I2" s="365" t="inlineStr">
        <x:is>
          <x:t xml:space="preserve">Overfilled</x:t>
        </x:is>
      </x:c>
      <x:c r="J2" s="361" t="inlineStr">
        <x:is>
          <x:t xml:space="preserve">Janoshik</x:t>
        </x:is>
      </x:c>
      <x:c r="K2" s="361" t="inlineStr">
        <x:is>
          <x:t xml:space="preserve">Confirmed</x:t>
        </x:is>
      </x:c>
      <x:c r="L2" s="366" t="n">
        <x:v>46156</x:v>
      </x:c>
      <x:c r="M2" s="361" t="inlineStr">
        <x:is>
          <x:t xml:space="preserve">#155137</x:t>
        </x:is>
      </x:c>
      <x:c r="N2" s="361" t="inlineStr">
        <x:is>
          <x:t xml:space="preserve">MLPR8T82ANB5</x:t>
        </x:is>
      </x:c>
      <x:c r="O2" s="361" t="inlineStr">
        <x:is>
          <x:t xml:space="preserve">260425</x:t>
        </x:is>
      </x:c>
      <x:c r="P2" s="361" t="inlineStr">
        <x:is>
          <x:t xml:space="preserve">Janoshik verify key</x:t>
        </x:is>
      </x:c>
      <x:c r="Q2" s="367" t="inlineStr">
        <x:is>
          <x:t xml:space="preserve">Pass</x:t>
        </x:is>
      </x:c>
      <x:c r="R2" s="361" t="inlineStr">
        <x:is>
          <x:t xml:space="preserve">Duplicates removed by same lab/report/date/product</x:t>
        </x:is>
      </x:c>
      <x:c r="S2" s="361" t="inlineStr">
        <x:is>
          <x:t xml:space="preserve">RT10 - common GLP-1 blind test; overfilled</x:t>
        </x:is>
      </x:c>
      <x:c r="T2" s="368" t="inlineStr">
        <x:is>
          <x:t xml:space="preserve">Not Listed</x:t>
        </x:is>
      </x:c>
      <x:c r="U2" s="368" t="inlineStr">
        <x:is>
          <x:t xml:space="preserve">Not Listed</x:t>
        </x:is>
      </x:c>
      <x:c r="V2" s="361" t="inlineStr">
        <x:is>
          <x:t xml:space="preserve">Crimp/cap color not listed or visible in the COA/testing record.</x:t>
        </x:is>
      </x:c>
    </x:row>
    <x:row r="3">
      <x:c r="A3" s="361" t="inlineStr">
        <x:is>
          <x:t xml:space="preserve">COA-0002</x:t>
        </x:is>
      </x:c>
      <x:c r="B3" s="361" t="inlineStr">
        <x:is>
          <x:t xml:space="preserve">Retatrutide</x:t>
        </x:is>
      </x:c>
      <x:c r="C3" s="361" t="inlineStr">
        <x:is>
          <x:t xml:space="preserve">GLP-1 / Weight</x:t>
        </x:is>
      </x:c>
      <x:c r="D3" s="361" t="n">
        <x:v>10</x:v>
      </x:c>
      <x:c r="E3" s="361" t="n">
        <x:v>10</x:v>
      </x:c>
      <x:c r="F3" s="361" t="n">
        <x:v>0</x:v>
      </x:c>
      <x:c r="G3" s="364" t="n">
        <x:v>0</x:v>
      </x:c>
      <x:c r="H3" s="362" t="n">
        <x:v>99.369</x:v>
      </x:c>
      <x:c r="I3" s="369" t="inlineStr">
        <x:is>
          <x:t xml:space="preserve">On label</x:t>
        </x:is>
      </x:c>
      <x:c r="J3" s="361" t="inlineStr">
        <x:is>
          <x:t xml:space="preserve">Janoshik</x:t>
        </x:is>
      </x:c>
      <x:c r="K3" s="361" t="inlineStr">
        <x:is>
          <x:t xml:space="preserve">Confirmed</x:t>
        </x:is>
      </x:c>
      <x:c r="L3" s="366" t="n">
        <x:v>46057</x:v>
      </x:c>
      <x:c r="M3" s="361" t="inlineStr">
        <x:is>
          <x:t xml:space="preserve">#105187</x:t>
        </x:is>
      </x:c>
      <x:c r="N3" s="361" t="inlineStr">
        <x:is>
          <x:t xml:space="preserve">3UKCXZPJAWQR</x:t>
        </x:is>
      </x:c>
      <x:c r="O3" s="361" t="inlineStr">
        <x:is>
          <x:t xml:space="preserve">2026.01.26.hva16</x:t>
        </x:is>
      </x:c>
      <x:c r="P3" s="361" t="inlineStr">
        <x:is>
          <x:t xml:space="preserve">Janoshik verify key</x:t>
        </x:is>
      </x:c>
      <x:c r="Q3" s="367" t="inlineStr">
        <x:is>
          <x:t xml:space="preserve">Pass</x:t>
        </x:is>
      </x:c>
      <x:c r="R3" s="361" t="inlineStr">
        <x:is>
          <x:t xml:space="preserve">Duplicates removed by same lab/report/date/product</x:t>
        </x:is>
      </x:c>
      <x:c r="S3" s="361" t="inlineStr">
        <x:is>
          <x:t xml:space="preserve">On label</x:t>
        </x:is>
      </x:c>
      <x:c r="T3" s="368" t="inlineStr">
        <x:is>
          <x:t xml:space="preserve">Not Listed</x:t>
        </x:is>
      </x:c>
      <x:c r="U3" s="368" t="inlineStr">
        <x:is>
          <x:t xml:space="preserve">Not Listed</x:t>
        </x:is>
      </x:c>
      <x:c r="V3" s="361" t="inlineStr">
        <x:is>
          <x:t xml:space="preserve">Crimp/cap color not listed or visible in the COA/testing record.</x:t>
        </x:is>
      </x:c>
    </x:row>
    <x:row r="4">
      <x:c r="A4" s="361" t="inlineStr">
        <x:is>
          <x:t xml:space="preserve">COA-0003</x:t>
        </x:is>
      </x:c>
      <x:c r="B4" s="361" t="inlineStr">
        <x:is>
          <x:t xml:space="preserve">Retatrutide</x:t>
        </x:is>
      </x:c>
      <x:c r="C4" s="361" t="inlineStr">
        <x:is>
          <x:t xml:space="preserve">GLP-1 / Weight</x:t>
        </x:is>
      </x:c>
      <x:c r="D4" s="361" t="n">
        <x:v>5</x:v>
      </x:c>
      <x:c r="E4" s="361" t="n">
        <x:v>6.63</x:v>
      </x:c>
      <x:c r="F4" s="361" t="n">
        <x:v>1.63</x:v>
      </x:c>
      <x:c r="G4" s="364" t="n">
        <x:v>0.326</x:v>
      </x:c>
      <x:c r="H4" s="362" t="n">
        <x:v>99.654</x:v>
      </x:c>
      <x:c r="I4" s="365" t="inlineStr">
        <x:is>
          <x:t xml:space="preserve">Overfilled</x:t>
        </x:is>
      </x:c>
      <x:c r="J4" s="361" t="inlineStr">
        <x:is>
          <x:t xml:space="preserve">Kovera Labs</x:t>
        </x:is>
      </x:c>
      <x:c r="K4" s="361" t="inlineStr">
        <x:is>
          <x:t xml:space="preserve">Confirmed</x:t>
        </x:is>
      </x:c>
      <x:c r="L4" s="366" t="n">
        <x:v>46174</x:v>
      </x:c>
      <x:c r="M4" s="361" t="inlineStr">
        <x:is>
          <x:t xml:space="preserve">Redacted</x:t>
        </x:is>
      </x:c>
      <x:c r="N4" s="361" t="inlineStr">
        <x:is>
          <x:t xml:space="preserve">Redacted</x:t>
        </x:is>
      </x:c>
      <x:c r="O4" s="361" t="inlineStr">
        <x:is>
          <x:t xml:space="preserve">Redacted</x:t>
        </x:is>
      </x:c>
      <x:c r="P4" s="361" t="inlineStr">
        <x:is>
          <x:t xml:space="preserve">Kovera certificate</x:t>
        </x:is>
      </x:c>
      <x:c r="Q4" s="367" t="inlineStr">
        <x:is>
          <x:t xml:space="preserve">Pass</x:t>
        </x:is>
      </x:c>
      <x:c r="R4" s="361" t="inlineStr">
        <x:is>
          <x:t xml:space="preserve">Duplicates removed by same lab/report/date/product</x:t>
        </x:is>
      </x:c>
      <x:c r="S4" s="361" t="inlineStr">
        <x:is>
          <x:t xml:space="preserve">Heavy metals negative; endotoxin pass</x:t>
        </x:is>
      </x:c>
      <x:c r="T4" s="368" t="inlineStr">
        <x:is>
          <x:t xml:space="preserve">Not Listed</x:t>
        </x:is>
      </x:c>
      <x:c r="U4" s="368" t="inlineStr">
        <x:is>
          <x:t xml:space="preserve">Not Listed</x:t>
        </x:is>
      </x:c>
      <x:c r="V4" s="361" t="inlineStr">
        <x:is>
          <x:t xml:space="preserve">Crimp/cap color not listed or visible in the COA/testing record.</x:t>
        </x:is>
      </x:c>
    </x:row>
    <x:row r="5">
      <x:c r="A5" s="361" t="inlineStr">
        <x:is>
          <x:t xml:space="preserve">COA-0004</x:t>
        </x:is>
      </x:c>
      <x:c r="B5" s="361" t="inlineStr">
        <x:is>
          <x:t xml:space="preserve">Retatrutide</x:t>
        </x:is>
      </x:c>
      <x:c r="C5" s="361" t="inlineStr">
        <x:is>
          <x:t xml:space="preserve">GLP-1 / Weight</x:t>
        </x:is>
      </x:c>
      <x:c r="D5" s="361" t="n">
        <x:v>15</x:v>
      </x:c>
      <x:c r="E5" s="361" t="n">
        <x:v>17.93</x:v>
      </x:c>
      <x:c r="F5" s="361" t="n">
        <x:v>2.93</x:v>
      </x:c>
      <x:c r="G5" s="364" t="n">
        <x:v>0.1953333333333333</x:v>
      </x:c>
      <x:c r="H5" s="362" t="n">
        <x:v>99.491</x:v>
      </x:c>
      <x:c r="I5" s="365" t="inlineStr">
        <x:is>
          <x:t xml:space="preserve">Overfilled</x:t>
        </x:is>
      </x:c>
      <x:c r="J5" s="361" t="inlineStr">
        <x:is>
          <x:t xml:space="preserve">Kovera Labs</x:t>
        </x:is>
      </x:c>
      <x:c r="K5" s="361" t="inlineStr">
        <x:is>
          <x:t xml:space="preserve">Confirmed</x:t>
        </x:is>
      </x:c>
      <x:c r="L5" s="366" t="n">
        <x:v>46175</x:v>
      </x:c>
      <x:c r="M5" s="361" t="inlineStr">
        <x:is>
          <x:t xml:space="preserve">Redacted</x:t>
        </x:is>
      </x:c>
      <x:c r="N5" s="361" t="inlineStr">
        <x:is>
          <x:t xml:space="preserve">Redacted</x:t>
        </x:is>
      </x:c>
      <x:c r="O5" s="361" t="inlineStr">
        <x:is>
          <x:t xml:space="preserve">Redacted</x:t>
        </x:is>
      </x:c>
      <x:c r="P5" s="361" t="inlineStr">
        <x:is>
          <x:t xml:space="preserve">Kovera certificate</x:t>
        </x:is>
      </x:c>
      <x:c r="Q5" s="367" t="inlineStr">
        <x:is>
          <x:t xml:space="preserve">Pass</x:t>
        </x:is>
      </x:c>
      <x:c r="R5" s="361" t="inlineStr">
        <x:is>
          <x:t xml:space="preserve">Duplicates removed by same lab/report/date/product</x:t>
        </x:is>
      </x:c>
      <x:c r="S5" s="361" t="inlineStr">
        <x:is>
          <x:t xml:space="preserve">Heavy metals negative; endotoxin pass</x:t>
        </x:is>
      </x:c>
      <x:c r="T5" s="368" t="inlineStr">
        <x:is>
          <x:t xml:space="preserve">Not Listed</x:t>
        </x:is>
      </x:c>
      <x:c r="U5" s="368" t="inlineStr">
        <x:is>
          <x:t xml:space="preserve">Not Listed</x:t>
        </x:is>
      </x:c>
      <x:c r="V5" s="361" t="inlineStr">
        <x:is>
          <x:t xml:space="preserve">Crimp/cap color not listed or visible in the COA/testing record.</x:t>
        </x:is>
      </x:c>
    </x:row>
    <x:row r="6">
      <x:c r="A6" s="361" t="inlineStr">
        <x:is>
          <x:t xml:space="preserve">COA-0005</x:t>
        </x:is>
      </x:c>
      <x:c r="B6" s="361" t="inlineStr">
        <x:is>
          <x:t xml:space="preserve">Retatrutide</x:t>
        </x:is>
      </x:c>
      <x:c r="C6" s="361" t="inlineStr">
        <x:is>
          <x:t xml:space="preserve">GLP-1 / Weight</x:t>
        </x:is>
      </x:c>
      <x:c r="D6" s="361" t="n">
        <x:v>10</x:v>
      </x:c>
      <x:c r="E6" s="361" t="n">
        <x:v>11.77</x:v>
      </x:c>
      <x:c r="F6" s="361" t="n">
        <x:v>1.77</x:v>
      </x:c>
      <x:c r="G6" s="364" t="n">
        <x:v>0.177</x:v>
      </x:c>
      <x:c r="H6" s="362" t="n">
        <x:v>99.96299999999999</x:v>
      </x:c>
      <x:c r="I6" s="365" t="inlineStr">
        <x:is>
          <x:t xml:space="preserve">Overfilled</x:t>
        </x:is>
      </x:c>
      <x:c r="J6" s="361" t="inlineStr">
        <x:is>
          <x:t xml:space="preserve">Kovera Labs</x:t>
        </x:is>
      </x:c>
      <x:c r="K6" s="361" t="inlineStr">
        <x:is>
          <x:t xml:space="preserve">Confirmed</x:t>
        </x:is>
      </x:c>
      <x:c r="L6" s="366" t="n">
        <x:v>46117</x:v>
      </x:c>
      <x:c r="M6" s="361" t="inlineStr">
        <x:is>
          <x:t xml:space="preserve">KVR-2026-A91FF9</x:t>
        </x:is>
      </x:c>
      <x:c r="N6" s="361" t="inlineStr">
        <x:is>
          <x:t xml:space="preserve">N/A</x:t>
        </x:is>
      </x:c>
      <x:c r="O6" s="361" t="inlineStr">
        <x:is>
          <x:t xml:space="preserve">RT10-0331</x:t>
        </x:is>
      </x:c>
      <x:c r="P6" s="361" t="inlineStr">
        <x:is>
          <x:t xml:space="preserve">Kovera certificate</x:t>
        </x:is>
      </x:c>
      <x:c r="Q6" s="367" t="inlineStr">
        <x:is>
          <x:t xml:space="preserve">Pass</x:t>
        </x:is>
      </x:c>
      <x:c r="R6" s="361" t="inlineStr">
        <x:is>
          <x:t xml:space="preserve">Duplicates removed by same lab/report/date/product</x:t>
        </x:is>
      </x:c>
      <x:c r="S6" s="361" t="inlineStr">
        <x:is>
          <x:t xml:space="preserve">Trivial-3R / Retatrutide; batch avg</x:t>
        </x:is>
      </x:c>
      <x:c r="T6" s="368" t="inlineStr">
        <x:is>
          <x:t xml:space="preserve">Not Listed</x:t>
        </x:is>
      </x:c>
      <x:c r="U6" s="368" t="inlineStr">
        <x:is>
          <x:t xml:space="preserve">Not Listed</x:t>
        </x:is>
      </x:c>
      <x:c r="V6" s="361" t="inlineStr">
        <x:is>
          <x:t xml:space="preserve">Crimp/cap color not listed or visible in the COA/testing record.</x:t>
        </x:is>
      </x:c>
    </x:row>
    <x:row r="7">
      <x:c r="A7" s="361" t="inlineStr">
        <x:is>
          <x:t xml:space="preserve">COA-0006</x:t>
        </x:is>
      </x:c>
      <x:c r="B7" s="361" t="inlineStr">
        <x:is>
          <x:t xml:space="preserve">Retatrutide</x:t>
        </x:is>
      </x:c>
      <x:c r="C7" s="361" t="inlineStr">
        <x:is>
          <x:t xml:space="preserve">GLP-1 / Weight</x:t>
        </x:is>
      </x:c>
      <x:c r="D7" s="361" t="n"/>
      <x:c r="E7" s="361" t="n">
        <x:v>22.47</x:v>
      </x:c>
      <x:c r="F7" s="361" t="str">
        <x:f>IF(OR(D7="",E7=""),"",E7-D7)</x:f>
      </x:c>
      <x:c r="G7" s="364" t="str">
        <x:f>IF(OR(D7="",E7=""),"",E7/D7-1)</x:f>
      </x:c>
      <x:c r="H7" s="362" t="n">
        <x:v>99.5</x:v>
      </x:c>
      <x:c r="I7" s="370" t="str">
        <x:f>IF(G7="","Review",IF(G7&gt;0.03,"Overfilled",IF(G7&lt;-0.03,"Underfilled","On label")))</x:f>
        <x:v>Review</x:v>
      </x:c>
      <x:c r="J7" s="361" t="inlineStr">
        <x:is>
          <x:t xml:space="preserve">Aminos Analytics</x:t>
        </x:is>
      </x:c>
      <x:c r="K7" s="361" t="inlineStr">
        <x:is>
          <x:t xml:space="preserve">Confirmed</x:t>
        </x:is>
      </x:c>
      <x:c r="L7" s="366" t="n">
        <x:v>46146</x:v>
      </x:c>
      <x:c r="M7" s="361" t="inlineStr">
        <x:is>
          <x:t xml:space="preserve">Redacted</x:t>
        </x:is>
      </x:c>
      <x:c r="N7" s="361" t="inlineStr">
        <x:is>
          <x:t xml:space="preserve">N/A</x:t>
        </x:is>
      </x:c>
      <x:c r="O7" s="361" t="inlineStr">
        <x:is>
          <x:t xml:space="preserve">Not provided</x:t>
        </x:is>
      </x:c>
      <x:c r="P7" s="361" t="inlineStr">
        <x:is>
          <x:t xml:space="preserve">Aminos certificate</x:t>
        </x:is>
      </x:c>
      <x:c r="Q7" s="367" t="inlineStr">
        <x:is>
          <x:t xml:space="preserve">Pass</x:t>
        </x:is>
      </x:c>
      <x:c r="R7" s="361" t="inlineStr">
        <x:is>
          <x:t xml:space="preserve">Duplicates removed by same lab/report/date/product</x:t>
        </x:is>
      </x:c>
      <x:c r="S7" s="361" t="inlineStr">
        <x:is>
          <x:t xml:space="preserve">Labeled quantity unclear from image</x:t>
        </x:is>
      </x:c>
      <x:c r="T7" s="368" t="inlineStr">
        <x:is>
          <x:t xml:space="preserve">Not Listed</x:t>
        </x:is>
      </x:c>
      <x:c r="U7" s="368" t="inlineStr">
        <x:is>
          <x:t xml:space="preserve">Not Listed</x:t>
        </x:is>
      </x:c>
      <x:c r="V7" s="361" t="inlineStr">
        <x:is>
          <x:t xml:space="preserve">Crimp/cap color not listed or visible in the COA/testing record.</x:t>
        </x:is>
      </x:c>
    </x:row>
    <x:row r="8">
      <x:c r="A8" s="361" t="inlineStr">
        <x:is>
          <x:t xml:space="preserve">COA-0007</x:t>
        </x:is>
      </x:c>
      <x:c r="B8" s="361" t="inlineStr">
        <x:is>
          <x:t xml:space="preserve">Tirzepatide</x:t>
        </x:is>
      </x:c>
      <x:c r="C8" s="361" t="inlineStr">
        <x:is>
          <x:t xml:space="preserve">GLP-1 / Weight</x:t>
        </x:is>
      </x:c>
      <x:c r="D8" s="361" t="n">
        <x:v>20</x:v>
      </x:c>
      <x:c r="E8" s="361" t="n">
        <x:v>26</x:v>
      </x:c>
      <x:c r="F8" s="361" t="n">
        <x:v>6</x:v>
      </x:c>
      <x:c r="G8" s="364" t="n">
        <x:v>0.3</x:v>
      </x:c>
      <x:c r="H8" s="362" t="n">
        <x:v>99.7</x:v>
      </x:c>
      <x:c r="I8" s="365" t="inlineStr">
        <x:is>
          <x:t xml:space="preserve">Overfilled</x:t>
        </x:is>
      </x:c>
      <x:c r="J8" s="361" t="inlineStr">
        <x:is>
          <x:t xml:space="preserve">BT Labs</x:t>
        </x:is>
      </x:c>
      <x:c r="K8" s="361" t="inlineStr">
        <x:is>
          <x:t xml:space="preserve">Confirmed</x:t>
        </x:is>
      </x:c>
      <x:c r="L8" s="366" t="n">
        <x:v>46133</x:v>
      </x:c>
      <x:c r="M8" s="361" t="inlineStr">
        <x:is>
          <x:t xml:space="preserve">IF-824-QSA-TR006-BTL26263-02</x:t>
        </x:is>
      </x:c>
      <x:c r="N8" s="361" t="inlineStr">
        <x:is>
          <x:t xml:space="preserve">N/A</x:t>
        </x:is>
      </x:c>
      <x:c r="O8" s="361" t="inlineStr">
        <x:is>
          <x:t xml:space="preserve">0426royal</x:t>
        </x:is>
      </x:c>
      <x:c r="P8" s="361" t="inlineStr">
        <x:is>
          <x:t xml:space="preserve">BT Labs COA</x:t>
        </x:is>
      </x:c>
      <x:c r="Q8" s="367" t="inlineStr">
        <x:is>
          <x:t xml:space="preserve">Pass</x:t>
        </x:is>
      </x:c>
      <x:c r="R8" s="361" t="inlineStr">
        <x:is>
          <x:t xml:space="preserve">Duplicates removed by same lab/report/date/product</x:t>
        </x:is>
      </x:c>
      <x:c r="S8" s="361" t="inlineStr">
        <x:is>
          <x:t xml:space="preserve">20 mg label; 130.1% potency</x:t>
        </x:is>
      </x:c>
      <x:c r="T8" s="368" t="inlineStr">
        <x:is>
          <x:t xml:space="preserve">Not Listed</x:t>
        </x:is>
      </x:c>
      <x:c r="U8" s="371" t="inlineStr">
        <x:is>
          <x:t xml:space="preserve">Royal Blue</x:t>
        </x:is>
      </x:c>
      <x:c r="V8" s="361" t="inlineStr">
        <x:is>
          <x:t xml:space="preserve">Cap color copied from COA/batch descriptor: 0426royal.</x:t>
        </x:is>
      </x:c>
    </x:row>
    <x:row r="9">
      <x:c r="A9" s="361" t="inlineStr">
        <x:is>
          <x:t xml:space="preserve">COA-0008</x:t>
        </x:is>
      </x:c>
      <x:c r="B9" s="361" t="inlineStr">
        <x:is>
          <x:t xml:space="preserve">Tirzepatide</x:t>
        </x:is>
      </x:c>
      <x:c r="C9" s="361" t="inlineStr">
        <x:is>
          <x:t xml:space="preserve">GLP-1 / Weight</x:t>
        </x:is>
      </x:c>
      <x:c r="D9" s="361" t="n">
        <x:v>40</x:v>
      </x:c>
      <x:c r="E9" s="361" t="n">
        <x:v>46.6</x:v>
      </x:c>
      <x:c r="F9" s="361" t="n">
        <x:v>6.600000000000001</x:v>
      </x:c>
      <x:c r="G9" s="364" t="n">
        <x:v>0.165</x:v>
      </x:c>
      <x:c r="H9" s="362" t="n">
        <x:v>99.7</x:v>
      </x:c>
      <x:c r="I9" s="365" t="inlineStr">
        <x:is>
          <x:t xml:space="preserve">Overfilled</x:t>
        </x:is>
      </x:c>
      <x:c r="J9" s="361" t="inlineStr">
        <x:is>
          <x:t xml:space="preserve">BT Labs</x:t>
        </x:is>
      </x:c>
      <x:c r="K9" s="361" t="inlineStr">
        <x:is>
          <x:t xml:space="preserve">Confirmed</x:t>
        </x:is>
      </x:c>
      <x:c r="L9" s="366" t="n">
        <x:v>46106</x:v>
      </x:c>
      <x:c r="M9" s="361" t="inlineStr">
        <x:is>
          <x:t xml:space="preserve">IF-824-QSA-TR006-BTL2695-01</x:t>
        </x:is>
      </x:c>
      <x:c r="N9" s="361" t="inlineStr">
        <x:is>
          <x:t xml:space="preserve">N/A</x:t>
        </x:is>
      </x:c>
      <x:c r="O9" s="361" t="inlineStr">
        <x:is>
          <x:t xml:space="preserve">0325GrayStorm</x:t>
        </x:is>
      </x:c>
      <x:c r="P9" s="361" t="inlineStr">
        <x:is>
          <x:t xml:space="preserve">BT Labs COA</x:t>
        </x:is>
      </x:c>
      <x:c r="Q9" s="367" t="inlineStr">
        <x:is>
          <x:t xml:space="preserve">Pass</x:t>
        </x:is>
      </x:c>
      <x:c r="R9" s="361" t="inlineStr">
        <x:is>
          <x:t xml:space="preserve">Duplicates removed by same lab/report/date/product</x:t>
        </x:is>
      </x:c>
      <x:c r="S9" s="361" t="inlineStr">
        <x:is>
          <x:t xml:space="preserve">40 mg label; 116.4% potency</x:t>
        </x:is>
      </x:c>
      <x:c r="T9" s="368" t="inlineStr">
        <x:is>
          <x:t xml:space="preserve">Not Listed</x:t>
        </x:is>
      </x:c>
      <x:c r="U9" s="372" t="inlineStr">
        <x:is>
          <x:t xml:space="preserve">Gray</x:t>
        </x:is>
      </x:c>
      <x:c r="V9" s="361" t="inlineStr">
        <x:is>
          <x:t xml:space="preserve">Cap color copied from COA/batch descriptor: 0325GrayStorm.</x:t>
        </x:is>
      </x:c>
    </x:row>
    <x:row r="10">
      <x:c r="A10" s="361" t="inlineStr">
        <x:is>
          <x:t xml:space="preserve">COA-0009</x:t>
        </x:is>
      </x:c>
      <x:c r="B10" s="361" t="inlineStr">
        <x:is>
          <x:t xml:space="preserve">Tirzepatide</x:t>
        </x:is>
      </x:c>
      <x:c r="C10" s="361" t="inlineStr">
        <x:is>
          <x:t xml:space="preserve">GLP-1 / Weight</x:t>
        </x:is>
      </x:c>
      <x:c r="D10" s="361" t="n">
        <x:v>60</x:v>
      </x:c>
      <x:c r="E10" s="361" t="n">
        <x:v>65.09999999999999</x:v>
      </x:c>
      <x:c r="F10" s="361" t="n">
        <x:v>5.099999999999994</x:v>
      </x:c>
      <x:c r="G10" s="364" t="n">
        <x:v>0.08499999999999991</x:v>
      </x:c>
      <x:c r="H10" s="362" t="n">
        <x:v>99.8</x:v>
      </x:c>
      <x:c r="I10" s="365" t="inlineStr">
        <x:is>
          <x:t xml:space="preserve">Overfilled</x:t>
        </x:is>
      </x:c>
      <x:c r="J10" s="361" t="inlineStr">
        <x:is>
          <x:t xml:space="preserve">BT Labs</x:t>
        </x:is>
      </x:c>
      <x:c r="K10" s="361" t="inlineStr">
        <x:is>
          <x:t xml:space="preserve">Confirmed</x:t>
        </x:is>
      </x:c>
      <x:c r="L10" s="366" t="n">
        <x:v>46133</x:v>
      </x:c>
      <x:c r="M10" s="361" t="inlineStr">
        <x:is>
          <x:t xml:space="preserve">IF-824-QSA-TR006-BTL26263-01</x:t>
        </x:is>
      </x:c>
      <x:c r="N10" s="361" t="inlineStr">
        <x:is>
          <x:t xml:space="preserve">N/A</x:t>
        </x:is>
      </x:c>
      <x:c r="O10" s="361" t="inlineStr">
        <x:is>
          <x:t xml:space="preserve">0426goldrush</x:t>
        </x:is>
      </x:c>
      <x:c r="P10" s="361" t="inlineStr">
        <x:is>
          <x:t xml:space="preserve">BT Labs COA</x:t>
        </x:is>
      </x:c>
      <x:c r="Q10" s="367" t="inlineStr">
        <x:is>
          <x:t xml:space="preserve">Pass</x:t>
        </x:is>
      </x:c>
      <x:c r="R10" s="361" t="inlineStr">
        <x:is>
          <x:t xml:space="preserve">Duplicates removed by same lab/report/date/product</x:t>
        </x:is>
      </x:c>
      <x:c r="S10" s="361" t="inlineStr">
        <x:is>
          <x:t xml:space="preserve">60 mg label; 108.5% potency</x:t>
        </x:is>
      </x:c>
      <x:c r="T10" s="368" t="inlineStr">
        <x:is>
          <x:t xml:space="preserve">Not Listed</x:t>
        </x:is>
      </x:c>
      <x:c r="U10" s="373" t="inlineStr">
        <x:is>
          <x:t xml:space="preserve">Gold</x:t>
        </x:is>
      </x:c>
      <x:c r="V10" s="361" t="inlineStr">
        <x:is>
          <x:t xml:space="preserve">Cap color copied from COA/batch descriptor: 0426goldrush.</x:t>
        </x:is>
      </x:c>
    </x:row>
    <x:row r="11">
      <x:c r="A11" s="361" t="inlineStr">
        <x:is>
          <x:t xml:space="preserve">COA-0010</x:t>
        </x:is>
      </x:c>
      <x:c r="B11" s="361" t="inlineStr">
        <x:is>
          <x:t xml:space="preserve">Tirzepatide</x:t>
        </x:is>
      </x:c>
      <x:c r="C11" s="361" t="inlineStr">
        <x:is>
          <x:t xml:space="preserve">GLP-1 / Weight</x:t>
        </x:is>
      </x:c>
      <x:c r="D11" s="361" t="n">
        <x:v>30</x:v>
      </x:c>
      <x:c r="E11" s="361" t="n">
        <x:v>32.5</x:v>
      </x:c>
      <x:c r="F11" s="361" t="n">
        <x:v>2.5</x:v>
      </x:c>
      <x:c r="G11" s="364" t="n">
        <x:v>0.08333333333333333</x:v>
      </x:c>
      <x:c r="H11" s="362" t="n">
        <x:v>99.84</x:v>
      </x:c>
      <x:c r="I11" s="365" t="inlineStr">
        <x:is>
          <x:t xml:space="preserve">Overfilled</x:t>
        </x:is>
      </x:c>
      <x:c r="J11" s="361" t="inlineStr">
        <x:is>
          <x:t xml:space="preserve">Janoshik</x:t>
        </x:is>
      </x:c>
      <x:c r="K11" s="361" t="inlineStr">
        <x:is>
          <x:t xml:space="preserve">Confirmed</x:t>
        </x:is>
      </x:c>
      <x:c r="L11" s="366" t="n">
        <x:v>46059</x:v>
      </x:c>
      <x:c r="M11" s="361" t="inlineStr">
        <x:is>
          <x:t xml:space="preserve">#106031</x:t>
        </x:is>
      </x:c>
      <x:c r="N11" s="361" t="inlineStr">
        <x:is>
          <x:t xml:space="preserve">GH4JPK2IUTGP</x:t>
        </x:is>
      </x:c>
      <x:c r="O11" s="361" t="inlineStr">
        <x:is>
          <x:t xml:space="preserve">2026.01.26.hva16</x:t>
        </x:is>
      </x:c>
      <x:c r="P11" s="361" t="inlineStr">
        <x:is>
          <x:t xml:space="preserve">Janoshik verify key</x:t>
        </x:is>
      </x:c>
      <x:c r="Q11" s="367" t="inlineStr">
        <x:is>
          <x:t xml:space="preserve">Pass</x:t>
        </x:is>
      </x:c>
      <x:c r="R11" s="361" t="inlineStr">
        <x:is>
          <x:t xml:space="preserve">Duplicates removed by same lab/report/date/product</x:t>
        </x:is>
      </x:c>
      <x:c r="S11" s="361" t="inlineStr">
        <x:is>
          <x:t xml:space="preserve">30 mg label</x:t>
        </x:is>
      </x:c>
      <x:c r="T11" s="368" t="inlineStr">
        <x:is>
          <x:t xml:space="preserve">Not Listed</x:t>
        </x:is>
      </x:c>
      <x:c r="U11" s="368" t="inlineStr">
        <x:is>
          <x:t xml:space="preserve">Not Listed</x:t>
        </x:is>
      </x:c>
      <x:c r="V11" s="361" t="inlineStr">
        <x:is>
          <x:t xml:space="preserve">Crimp/cap color not listed or visible in the COA/testing record.</x:t>
        </x:is>
      </x:c>
    </x:row>
    <x:row r="12">
      <x:c r="A12" s="361" t="inlineStr">
        <x:is>
          <x:t xml:space="preserve">COA-0011</x:t>
        </x:is>
      </x:c>
      <x:c r="B12" s="361" t="inlineStr">
        <x:is>
          <x:t xml:space="preserve">Cagrilintide</x:t>
        </x:is>
      </x:c>
      <x:c r="C12" s="361" t="inlineStr">
        <x:is>
          <x:t xml:space="preserve">GLP-1 / Weight</x:t>
        </x:is>
      </x:c>
      <x:c r="D12" s="361" t="n">
        <x:v>10</x:v>
      </x:c>
      <x:c r="E12" s="361" t="n">
        <x:v>10.47</x:v>
      </x:c>
      <x:c r="F12" s="361" t="n">
        <x:v>0.4700000000000006</x:v>
      </x:c>
      <x:c r="G12" s="364" t="n">
        <x:v>0.04700000000000006</x:v>
      </x:c>
      <x:c r="H12" s="362" t="n">
        <x:v>99.04000000000001</x:v>
      </x:c>
      <x:c r="I12" s="369" t="inlineStr">
        <x:is>
          <x:t xml:space="preserve">On label</x:t>
        </x:is>
      </x:c>
      <x:c r="J12" s="361" t="inlineStr">
        <x:is>
          <x:t xml:space="preserve">Janoshik</x:t>
        </x:is>
      </x:c>
      <x:c r="K12" s="361" t="inlineStr">
        <x:is>
          <x:t xml:space="preserve">Confirmed</x:t>
        </x:is>
      </x:c>
      <x:c r="L12" s="366" t="n">
        <x:v>46155</x:v>
      </x:c>
      <x:c r="M12" s="361" t="inlineStr">
        <x:is>
          <x:t xml:space="preserve">#155157</x:t>
        </x:is>
      </x:c>
      <x:c r="N12" s="361" t="inlineStr">
        <x:is>
          <x:t xml:space="preserve">YEM8I1Y94JVT</x:t>
        </x:is>
      </x:c>
      <x:c r="O12" s="361" t="inlineStr">
        <x:is>
          <x:t xml:space="preserve">260425</x:t>
        </x:is>
      </x:c>
      <x:c r="P12" s="361" t="inlineStr">
        <x:is>
          <x:t xml:space="preserve">Janoshik verify key</x:t>
        </x:is>
      </x:c>
      <x:c r="Q12" s="367" t="inlineStr">
        <x:is>
          <x:t xml:space="preserve">Pass</x:t>
        </x:is>
      </x:c>
      <x:c r="R12" s="361" t="inlineStr">
        <x:is>
          <x:t xml:space="preserve">Duplicates removed by same lab/report/date/product</x:t>
        </x:is>
      </x:c>
      <x:c r="S12" s="361" t="inlineStr">
        <x:is>
          <x:t xml:space="preserve">Overfilled</x:t>
        </x:is>
      </x:c>
      <x:c r="T12" s="368" t="inlineStr">
        <x:is>
          <x:t xml:space="preserve">Not Listed</x:t>
        </x:is>
      </x:c>
      <x:c r="U12" s="368" t="inlineStr">
        <x:is>
          <x:t xml:space="preserve">Not Listed</x:t>
        </x:is>
      </x:c>
      <x:c r="V12" s="361" t="inlineStr">
        <x:is>
          <x:t xml:space="preserve">Crimp/cap color not listed or visible in the COA/testing record.</x:t>
        </x:is>
      </x:c>
    </x:row>
    <x:row r="13">
      <x:c r="A13" s="361" t="inlineStr">
        <x:is>
          <x:t xml:space="preserve">COA-0012</x:t>
        </x:is>
      </x:c>
      <x:c r="B13" s="361" t="inlineStr">
        <x:is>
          <x:t xml:space="preserve">AOD-9604</x:t>
        </x:is>
      </x:c>
      <x:c r="C13" s="361" t="inlineStr">
        <x:is>
          <x:t xml:space="preserve">Metabolic / Fat Loss</x:t>
        </x:is>
      </x:c>
      <x:c r="D13" s="361" t="n">
        <x:v>5</x:v>
      </x:c>
      <x:c r="E13" s="361" t="n">
        <x:v>5.95</x:v>
      </x:c>
      <x:c r="F13" s="361" t="n">
        <x:v>0.9500000000000002</x:v>
      </x:c>
      <x:c r="G13" s="364" t="n">
        <x:v>0.19</x:v>
      </x:c>
      <x:c r="H13" s="362" t="n">
        <x:v>99.883</x:v>
      </x:c>
      <x:c r="I13" s="365" t="inlineStr">
        <x:is>
          <x:t xml:space="preserve">Overfilled</x:t>
        </x:is>
      </x:c>
      <x:c r="J13" s="361" t="inlineStr">
        <x:is>
          <x:t xml:space="preserve">Janoshik</x:t>
        </x:is>
      </x:c>
      <x:c r="K13" s="361" t="inlineStr">
        <x:is>
          <x:t xml:space="preserve">Confirmed</x:t>
        </x:is>
      </x:c>
      <x:c r="L13" s="366" t="n">
        <x:v>46156</x:v>
      </x:c>
      <x:c r="M13" s="361" t="inlineStr">
        <x:is>
          <x:t xml:space="preserve">#155207</x:t>
        </x:is>
      </x:c>
      <x:c r="N13" s="361" t="inlineStr">
        <x:is>
          <x:t xml:space="preserve">R61XS7CAKNZS</x:t>
        </x:is>
      </x:c>
      <x:c r="O13" s="361" t="inlineStr">
        <x:is>
          <x:t xml:space="preserve">260425</x:t>
        </x:is>
      </x:c>
      <x:c r="P13" s="361" t="inlineStr">
        <x:is>
          <x:t xml:space="preserve">Janoshik verify key</x:t>
        </x:is>
      </x:c>
      <x:c r="Q13" s="367" t="inlineStr">
        <x:is>
          <x:t xml:space="preserve">Pass</x:t>
        </x:is>
      </x:c>
      <x:c r="R13" s="361" t="inlineStr">
        <x:is>
          <x:t xml:space="preserve">Duplicates removed by same lab/report/date/product</x:t>
        </x:is>
      </x:c>
      <x:c r="S13" s="361" t="inlineStr">
        <x:is>
          <x:t xml:space="preserve">rHGH fragment / AOD-9604</x:t>
        </x:is>
      </x:c>
      <x:c r="T13" s="368" t="inlineStr">
        <x:is>
          <x:t xml:space="preserve">Not Listed</x:t>
        </x:is>
      </x:c>
      <x:c r="U13" s="368" t="inlineStr">
        <x:is>
          <x:t xml:space="preserve">Not Listed</x:t>
        </x:is>
      </x:c>
      <x:c r="V13" s="361" t="inlineStr">
        <x:is>
          <x:t xml:space="preserve">Crimp/cap color not listed or visible in the COA/testing record.</x:t>
        </x:is>
      </x:c>
    </x:row>
    <x:row r="14">
      <x:c r="A14" s="361" t="inlineStr">
        <x:is>
          <x:t xml:space="preserve">COA-0013</x:t>
        </x:is>
      </x:c>
      <x:c r="B14" s="361" t="inlineStr">
        <x:is>
          <x:t xml:space="preserve">MOTS-C</x:t>
        </x:is>
      </x:c>
      <x:c r="C14" s="361" t="inlineStr">
        <x:is>
          <x:t xml:space="preserve">Metabolic / Mito</x:t>
        </x:is>
      </x:c>
      <x:c r="D14" s="361" t="n">
        <x:v>10</x:v>
      </x:c>
      <x:c r="E14" s="361" t="n">
        <x:v>10.58</x:v>
      </x:c>
      <x:c r="F14" s="361" t="n">
        <x:v>0.5800000000000001</x:v>
      </x:c>
      <x:c r="G14" s="364" t="n">
        <x:v>0.05800000000000001</x:v>
      </x:c>
      <x:c r="H14" s="362" t="n">
        <x:v>99.84699999999999</x:v>
      </x:c>
      <x:c r="I14" s="365" t="inlineStr">
        <x:is>
          <x:t xml:space="preserve">Overfilled</x:t>
        </x:is>
      </x:c>
      <x:c r="J14" s="361" t="inlineStr">
        <x:is>
          <x:t xml:space="preserve">Janoshik</x:t>
        </x:is>
      </x:c>
      <x:c r="K14" s="361" t="inlineStr">
        <x:is>
          <x:t xml:space="preserve">Confirmed</x:t>
        </x:is>
      </x:c>
      <x:c r="L14" s="366" t="n">
        <x:v>46057</x:v>
      </x:c>
      <x:c r="M14" s="361" t="inlineStr">
        <x:is>
          <x:t xml:space="preserve">#105204</x:t>
        </x:is>
      </x:c>
      <x:c r="N14" s="361" t="inlineStr">
        <x:is>
          <x:t xml:space="preserve">PZAGRTQCMKEN</x:t>
        </x:is>
      </x:c>
      <x:c r="O14" s="361" t="inlineStr">
        <x:is>
          <x:t xml:space="preserve">2026.01.26.hva16</x:t>
        </x:is>
      </x:c>
      <x:c r="P14" s="361" t="inlineStr">
        <x:is>
          <x:t xml:space="preserve">Janoshik verify key</x:t>
        </x:is>
      </x:c>
      <x:c r="Q14" s="367" t="inlineStr">
        <x:is>
          <x:t xml:space="preserve">Pass</x:t>
        </x:is>
      </x:c>
      <x:c r="R14" s="361" t="inlineStr">
        <x:is>
          <x:t xml:space="preserve">Duplicates removed by same lab/report/date/product</x:t>
        </x:is>
      </x:c>
      <x:c r="S14" s="361" t="inlineStr">
        <x:is>
          <x:t xml:space="preserve">10 mg label</x:t>
        </x:is>
      </x:c>
      <x:c r="T14" s="368" t="inlineStr">
        <x:is>
          <x:t xml:space="preserve">Not Listed</x:t>
        </x:is>
      </x:c>
      <x:c r="U14" s="368" t="inlineStr">
        <x:is>
          <x:t xml:space="preserve">Not Listed</x:t>
        </x:is>
      </x:c>
      <x:c r="V14" s="361" t="inlineStr">
        <x:is>
          <x:t xml:space="preserve">Crimp/cap color not listed or visible in the COA/testing record.</x:t>
        </x:is>
      </x:c>
    </x:row>
    <x:row r="15">
      <x:c r="A15" s="361" t="inlineStr">
        <x:is>
          <x:t xml:space="preserve">COA-0014</x:t>
        </x:is>
      </x:c>
      <x:c r="B15" s="361" t="inlineStr">
        <x:is>
          <x:t xml:space="preserve">MOTS-C</x:t>
        </x:is>
      </x:c>
      <x:c r="C15" s="361" t="inlineStr">
        <x:is>
          <x:t xml:space="preserve">Metabolic / Mito</x:t>
        </x:is>
      </x:c>
      <x:c r="D15" s="361" t="n">
        <x:v>10</x:v>
      </x:c>
      <x:c r="E15" s="361" t="n">
        <x:v>11.17</x:v>
      </x:c>
      <x:c r="F15" s="361" t="n">
        <x:v>1.17</x:v>
      </x:c>
      <x:c r="G15" s="364" t="n">
        <x:v>0.117</x:v>
      </x:c>
      <x:c r="H15" s="362" t="n">
        <x:v>99.05500000000001</x:v>
      </x:c>
      <x:c r="I15" s="365" t="inlineStr">
        <x:is>
          <x:t xml:space="preserve">Overfilled</x:t>
        </x:is>
      </x:c>
      <x:c r="J15" s="361" t="inlineStr">
        <x:is>
          <x:t xml:space="preserve">Janoshik</x:t>
        </x:is>
      </x:c>
      <x:c r="K15" s="361" t="inlineStr">
        <x:is>
          <x:t xml:space="preserve">Confirmed</x:t>
        </x:is>
      </x:c>
      <x:c r="L15" s="366" t="n">
        <x:v>46155</x:v>
      </x:c>
      <x:c r="M15" s="361" t="inlineStr">
        <x:is>
          <x:t xml:space="preserve">#155147</x:t>
        </x:is>
      </x:c>
      <x:c r="N15" s="361" t="inlineStr">
        <x:is>
          <x:t xml:space="preserve">UVM6E4JHM32H</x:t>
        </x:is>
      </x:c>
      <x:c r="O15" s="361" t="inlineStr">
        <x:is>
          <x:t xml:space="preserve">260425</x:t>
        </x:is>
      </x:c>
      <x:c r="P15" s="361" t="inlineStr">
        <x:is>
          <x:t xml:space="preserve">Janoshik verify key</x:t>
        </x:is>
      </x:c>
      <x:c r="Q15" s="367" t="inlineStr">
        <x:is>
          <x:t xml:space="preserve">Pass</x:t>
        </x:is>
      </x:c>
      <x:c r="R15" s="361" t="inlineStr">
        <x:is>
          <x:t xml:space="preserve">Duplicates removed by same lab/report/date/product</x:t>
        </x:is>
      </x:c>
      <x:c r="S15" s="361" t="inlineStr">
        <x:is>
          <x:t xml:space="preserve">MS10 / MOTS-C</x:t>
        </x:is>
      </x:c>
      <x:c r="T15" s="368" t="inlineStr">
        <x:is>
          <x:t xml:space="preserve">Not Listed</x:t>
        </x:is>
      </x:c>
      <x:c r="U15" s="368" t="inlineStr">
        <x:is>
          <x:t xml:space="preserve">Not Listed</x:t>
        </x:is>
      </x:c>
      <x:c r="V15" s="361" t="inlineStr">
        <x:is>
          <x:t xml:space="preserve">Crimp/cap color not listed or visible in the COA/testing record.</x:t>
        </x:is>
      </x:c>
    </x:row>
    <x:row r="16">
      <x:c r="A16" s="361" t="inlineStr">
        <x:is>
          <x:t xml:space="preserve">COA-0015</x:t>
        </x:is>
      </x:c>
      <x:c r="B16" s="361" t="inlineStr">
        <x:is>
          <x:t xml:space="preserve">MOTS-C</x:t>
        </x:is>
      </x:c>
      <x:c r="C16" s="361" t="inlineStr">
        <x:is>
          <x:t xml:space="preserve">Metabolic / Mito</x:t>
        </x:is>
      </x:c>
      <x:c r="D16" s="361" t="n">
        <x:v>40</x:v>
      </x:c>
      <x:c r="E16" s="361" t="n">
        <x:v>38.96</x:v>
      </x:c>
      <x:c r="F16" s="361" t="n">
        <x:v>-1.039999999999999</x:v>
      </x:c>
      <x:c r="G16" s="364" t="n">
        <x:v>-0.02599999999999998</x:v>
      </x:c>
      <x:c r="H16" s="362" t="n">
        <x:v>99.813</x:v>
      </x:c>
      <x:c r="I16" s="369" t="inlineStr">
        <x:is>
          <x:t xml:space="preserve">On label</x:t>
        </x:is>
      </x:c>
      <x:c r="J16" s="361" t="inlineStr">
        <x:is>
          <x:t xml:space="preserve">Janoshik</x:t>
        </x:is>
      </x:c>
      <x:c r="K16" s="361" t="inlineStr">
        <x:is>
          <x:t xml:space="preserve">Confirmed</x:t>
        </x:is>
      </x:c>
      <x:c r="L16" s="366" t="n">
        <x:v>46057</x:v>
      </x:c>
      <x:c r="M16" s="361" t="inlineStr">
        <x:is>
          <x:t xml:space="preserve">#105209</x:t>
        </x:is>
      </x:c>
      <x:c r="N16" s="361" t="inlineStr">
        <x:is>
          <x:t xml:space="preserve">EZVSKIKKLCI2</x:t>
        </x:is>
      </x:c>
      <x:c r="O16" s="361" t="inlineStr">
        <x:is>
          <x:t xml:space="preserve">2026.01.26.hva16</x:t>
        </x:is>
      </x:c>
      <x:c r="P16" s="361" t="inlineStr">
        <x:is>
          <x:t xml:space="preserve">Janoshik verify key</x:t>
        </x:is>
      </x:c>
      <x:c r="Q16" s="367" t="inlineStr">
        <x:is>
          <x:t xml:space="preserve">Pass</x:t>
        </x:is>
      </x:c>
      <x:c r="R16" s="361" t="inlineStr">
        <x:is>
          <x:t xml:space="preserve">Duplicates removed by same lab/report/date/product</x:t>
        </x:is>
      </x:c>
      <x:c r="S16" s="361" t="inlineStr">
        <x:is>
          <x:t xml:space="preserve">40 mg label</x:t>
        </x:is>
      </x:c>
      <x:c r="T16" s="368" t="inlineStr">
        <x:is>
          <x:t xml:space="preserve">Not Listed</x:t>
        </x:is>
      </x:c>
      <x:c r="U16" s="368" t="inlineStr">
        <x:is>
          <x:t xml:space="preserve">Not Listed</x:t>
        </x:is>
      </x:c>
      <x:c r="V16" s="361" t="inlineStr">
        <x:is>
          <x:t xml:space="preserve">Crimp/cap color not listed or visible in the COA/testing record.</x:t>
        </x:is>
      </x:c>
    </x:row>
    <x:row r="17">
      <x:c r="A17" s="361" t="inlineStr">
        <x:is>
          <x:t xml:space="preserve">COA-0016</x:t>
        </x:is>
      </x:c>
      <x:c r="B17" s="361" t="inlineStr">
        <x:is>
          <x:t xml:space="preserve">TB-500</x:t>
        </x:is>
      </x:c>
      <x:c r="C17" s="361" t="inlineStr">
        <x:is>
          <x:t xml:space="preserve">Healing / Recovery</x:t>
        </x:is>
      </x:c>
      <x:c r="D17" s="361" t="n">
        <x:v>10</x:v>
      </x:c>
      <x:c r="E17" s="361" t="n">
        <x:v>11.38</x:v>
      </x:c>
      <x:c r="F17" s="361" t="n">
        <x:v>1.380000000000001</x:v>
      </x:c>
      <x:c r="G17" s="364" t="n">
        <x:v>0.1380000000000001</x:v>
      </x:c>
      <x:c r="H17" s="362" t="n">
        <x:v>99.08499999999999</x:v>
      </x:c>
      <x:c r="I17" s="365" t="inlineStr">
        <x:is>
          <x:t xml:space="preserve">Overfilled</x:t>
        </x:is>
      </x:c>
      <x:c r="J17" s="361" t="inlineStr">
        <x:is>
          <x:t xml:space="preserve">Janoshik</x:t>
        </x:is>
      </x:c>
      <x:c r="K17" s="361" t="inlineStr">
        <x:is>
          <x:t xml:space="preserve">Confirmed</x:t>
        </x:is>
      </x:c>
      <x:c r="L17" s="366" t="n">
        <x:v>46155</x:v>
      </x:c>
      <x:c r="M17" s="361" t="inlineStr">
        <x:is>
          <x:t xml:space="preserve">#155187</x:t>
        </x:is>
      </x:c>
      <x:c r="N17" s="361" t="inlineStr">
        <x:is>
          <x:t xml:space="preserve">C4ZL757CFGFN</x:t>
        </x:is>
      </x:c>
      <x:c r="O17" s="361" t="inlineStr">
        <x:is>
          <x:t xml:space="preserve">260425</x:t>
        </x:is>
      </x:c>
      <x:c r="P17" s="361" t="inlineStr">
        <x:is>
          <x:t xml:space="preserve">Janoshik verify key</x:t>
        </x:is>
      </x:c>
      <x:c r="Q17" s="367" t="inlineStr">
        <x:is>
          <x:t xml:space="preserve">Pass</x:t>
        </x:is>
      </x:c>
      <x:c r="R17" s="361" t="inlineStr">
        <x:is>
          <x:t xml:space="preserve">Duplicates removed by same lab/report/date/product</x:t>
        </x:is>
      </x:c>
      <x:c r="S17" s="361" t="inlineStr">
        <x:is>
          <x:t xml:space="preserve">TB-500 / TB4</x:t>
        </x:is>
      </x:c>
      <x:c r="T17" s="368" t="inlineStr">
        <x:is>
          <x:t xml:space="preserve">Not Listed</x:t>
        </x:is>
      </x:c>
      <x:c r="U17" s="368" t="inlineStr">
        <x:is>
          <x:t xml:space="preserve">Not Listed</x:t>
        </x:is>
      </x:c>
      <x:c r="V17" s="361" t="inlineStr">
        <x:is>
          <x:t xml:space="preserve">Crimp/cap color not listed or visible in the COA/testing record.</x:t>
        </x:is>
      </x:c>
    </x:row>
    <x:row r="18">
      <x:c r="A18" s="361" t="inlineStr">
        <x:is>
          <x:t xml:space="preserve">COA-0017</x:t>
        </x:is>
      </x:c>
      <x:c r="B18" s="361" t="inlineStr">
        <x:is>
          <x:t xml:space="preserve">BPC-157</x:t>
        </x:is>
      </x:c>
      <x:c r="C18" s="361" t="inlineStr">
        <x:is>
          <x:t xml:space="preserve">Healing / Recovery</x:t>
        </x:is>
      </x:c>
      <x:c r="D18" s="361" t="n">
        <x:v>5</x:v>
      </x:c>
      <x:c r="E18" s="361" t="n">
        <x:v>5.54</x:v>
      </x:c>
      <x:c r="F18" s="361" t="n">
        <x:v>0.54</x:v>
      </x:c>
      <x:c r="G18" s="364" t="n">
        <x:v>0.108</x:v>
      </x:c>
      <x:c r="H18" s="362" t="n"/>
      <x:c r="I18" s="365" t="inlineStr">
        <x:is>
          <x:t xml:space="preserve">Overfilled</x:t>
        </x:is>
      </x:c>
      <x:c r="J18" s="361" t="inlineStr">
        <x:is>
          <x:t xml:space="preserve">Janoshik</x:t>
        </x:is>
      </x:c>
      <x:c r="K18" s="361" t="inlineStr">
        <x:is>
          <x:t xml:space="preserve">Confirmed</x:t>
        </x:is>
      </x:c>
      <x:c r="L18" s="366" t="n">
        <x:v>46057</x:v>
      </x:c>
      <x:c r="M18" s="361" t="inlineStr">
        <x:is>
          <x:t xml:space="preserve">#105138</x:t>
        </x:is>
      </x:c>
      <x:c r="N18" s="361" t="inlineStr">
        <x:is>
          <x:t xml:space="preserve">LIE4Z88FYGXC</x:t>
        </x:is>
      </x:c>
      <x:c r="O18" s="361" t="inlineStr">
        <x:is>
          <x:t xml:space="preserve">2026.01.26.hva16</x:t>
        </x:is>
      </x:c>
      <x:c r="P18" s="361" t="inlineStr">
        <x:is>
          <x:t xml:space="preserve">Janoshik verify key</x:t>
        </x:is>
      </x:c>
      <x:c r="Q18" s="367" t="inlineStr">
        <x:is>
          <x:t xml:space="preserve">Pass</x:t>
        </x:is>
      </x:c>
      <x:c r="R18" s="361" t="inlineStr">
        <x:is>
          <x:t xml:space="preserve">Duplicates removed by same lab/report/date/product</x:t>
        </x:is>
      </x:c>
      <x:c r="S18" s="361" t="inlineStr">
        <x:is>
          <x:t xml:space="preserve">Blend report BPC5+TB5</x:t>
        </x:is>
      </x:c>
      <x:c r="T18" s="368" t="inlineStr">
        <x:is>
          <x:t xml:space="preserve">Not Listed</x:t>
        </x:is>
      </x:c>
      <x:c r="U18" s="368" t="inlineStr">
        <x:is>
          <x:t xml:space="preserve">Not Listed</x:t>
        </x:is>
      </x:c>
      <x:c r="V18" s="361" t="inlineStr">
        <x:is>
          <x:t xml:space="preserve">Crimp/cap color not listed or visible in the COA/testing record.</x:t>
        </x:is>
      </x:c>
    </x:row>
    <x:row r="19">
      <x:c r="A19" s="361" t="inlineStr">
        <x:is>
          <x:t xml:space="preserve">COA-0018</x:t>
        </x:is>
      </x:c>
      <x:c r="B19" s="361" t="inlineStr">
        <x:is>
          <x:t xml:space="preserve">TB-500</x:t>
        </x:is>
      </x:c>
      <x:c r="C19" s="361" t="inlineStr">
        <x:is>
          <x:t xml:space="preserve">Healing / Recovery</x:t>
        </x:is>
      </x:c>
      <x:c r="D19" s="361" t="n">
        <x:v>5</x:v>
      </x:c>
      <x:c r="E19" s="361" t="n">
        <x:v>5.43</x:v>
      </x:c>
      <x:c r="F19" s="361" t="n">
        <x:v>0.4299999999999997</x:v>
      </x:c>
      <x:c r="G19" s="364" t="n">
        <x:v>0.08599999999999994</x:v>
      </x:c>
      <x:c r="H19" s="362" t="n"/>
      <x:c r="I19" s="369" t="inlineStr">
        <x:is>
          <x:t xml:space="preserve">On label</x:t>
        </x:is>
      </x:c>
      <x:c r="J19" s="361" t="inlineStr">
        <x:is>
          <x:t xml:space="preserve">Janoshik</x:t>
        </x:is>
      </x:c>
      <x:c r="K19" s="361" t="inlineStr">
        <x:is>
          <x:t xml:space="preserve">Confirmed</x:t>
        </x:is>
      </x:c>
      <x:c r="L19" s="366" t="n">
        <x:v>46057</x:v>
      </x:c>
      <x:c r="M19" s="361" t="inlineStr">
        <x:is>
          <x:t xml:space="preserve">#105138</x:t>
        </x:is>
      </x:c>
      <x:c r="N19" s="361" t="inlineStr">
        <x:is>
          <x:t xml:space="preserve">LIE4Z88FYGXC</x:t>
        </x:is>
      </x:c>
      <x:c r="O19" s="361" t="inlineStr">
        <x:is>
          <x:t xml:space="preserve">2026.01.26.hva16</x:t>
        </x:is>
      </x:c>
      <x:c r="P19" s="361" t="inlineStr">
        <x:is>
          <x:t xml:space="preserve">Janoshik verify key</x:t>
        </x:is>
      </x:c>
      <x:c r="Q19" s="367" t="inlineStr">
        <x:is>
          <x:t xml:space="preserve">Pass</x:t>
        </x:is>
      </x:c>
      <x:c r="R19" s="361" t="inlineStr">
        <x:is>
          <x:t xml:space="preserve">Duplicates removed by same lab/report/date/product</x:t>
        </x:is>
      </x:c>
      <x:c r="S19" s="361" t="inlineStr">
        <x:is>
          <x:t xml:space="preserve">Blend report BPC5+TB5</x:t>
        </x:is>
      </x:c>
      <x:c r="T19" s="368" t="inlineStr">
        <x:is>
          <x:t xml:space="preserve">Not Listed</x:t>
        </x:is>
      </x:c>
      <x:c r="U19" s="368" t="inlineStr">
        <x:is>
          <x:t xml:space="preserve">Not Listed</x:t>
        </x:is>
      </x:c>
      <x:c r="V19" s="361" t="inlineStr">
        <x:is>
          <x:t xml:space="preserve">Crimp/cap color not listed or visible in the COA/testing record.</x:t>
        </x:is>
      </x:c>
    </x:row>
    <x:row r="20">
      <x:c r="A20" s="361" t="inlineStr">
        <x:is>
          <x:t xml:space="preserve">COA-0019</x:t>
        </x:is>
      </x:c>
      <x:c r="B20" s="361" t="inlineStr">
        <x:is>
          <x:t xml:space="preserve">SS-31</x:t>
        </x:is>
      </x:c>
      <x:c r="C20" s="361" t="inlineStr">
        <x:is>
          <x:t xml:space="preserve">Metabolic / Mito</x:t>
        </x:is>
      </x:c>
      <x:c r="D20" s="361" t="n">
        <x:v>10</x:v>
      </x:c>
      <x:c r="E20" s="361" t="n">
        <x:v>8.880000000000001</x:v>
      </x:c>
      <x:c r="F20" s="361" t="n">
        <x:v>-1.119999999999999</x:v>
      </x:c>
      <x:c r="G20" s="364" t="n">
        <x:v>-0.1119999999999999</x:v>
      </x:c>
      <x:c r="H20" s="362" t="n">
        <x:v>99.95</x:v>
      </x:c>
      <x:c r="I20" s="374" t="inlineStr">
        <x:is>
          <x:t xml:space="preserve">Underfilled</x:t>
        </x:is>
      </x:c>
      <x:c r="J20" s="361" t="inlineStr">
        <x:is>
          <x:t xml:space="preserve">Janoshik</x:t>
        </x:is>
      </x:c>
      <x:c r="K20" s="361" t="inlineStr">
        <x:is>
          <x:t xml:space="preserve">Confirmed</x:t>
        </x:is>
      </x:c>
      <x:c r="L20" s="366" t="n">
        <x:v>46155</x:v>
      </x:c>
      <x:c r="M20" s="361" t="inlineStr">
        <x:is>
          <x:t xml:space="preserve">#155177</x:t>
        </x:is>
      </x:c>
      <x:c r="N20" s="361" t="inlineStr">
        <x:is>
          <x:t xml:space="preserve">ZBCG537ZYEN9</x:t>
        </x:is>
      </x:c>
      <x:c r="O20" s="361" t="inlineStr">
        <x:is>
          <x:t xml:space="preserve">260425</x:t>
        </x:is>
      </x:c>
      <x:c r="P20" s="361" t="inlineStr">
        <x:is>
          <x:t xml:space="preserve">Janoshik verify key</x:t>
        </x:is>
      </x:c>
      <x:c r="Q20" s="367" t="inlineStr">
        <x:is>
          <x:t xml:space="preserve">Pass</x:t>
        </x:is>
      </x:c>
      <x:c r="R20" s="361" t="inlineStr">
        <x:is>
          <x:t xml:space="preserve">Duplicates removed by same lab/report/date/product</x:t>
        </x:is>
      </x:c>
      <x:c r="S20" s="361" t="inlineStr">
        <x:is>
          <x:t xml:space="preserve">Elamipretide; tested twice</x:t>
        </x:is>
      </x:c>
      <x:c r="T20" s="368" t="inlineStr">
        <x:is>
          <x:t xml:space="preserve">Not Listed</x:t>
        </x:is>
      </x:c>
      <x:c r="U20" s="368" t="inlineStr">
        <x:is>
          <x:t xml:space="preserve">Not Listed</x:t>
        </x:is>
      </x:c>
      <x:c r="V20" s="361" t="inlineStr">
        <x:is>
          <x:t xml:space="preserve">Crimp/cap color not listed or visible in the COA/testing record.</x:t>
        </x:is>
      </x:c>
    </x:row>
    <x:row r="21">
      <x:c r="A21" s="361" t="inlineStr">
        <x:is>
          <x:t xml:space="preserve">COA-0020</x:t>
        </x:is>
      </x:c>
      <x:c r="B21" s="361" t="inlineStr">
        <x:is>
          <x:t xml:space="preserve">KPV</x:t>
        </x:is>
      </x:c>
      <x:c r="C21" s="361" t="inlineStr">
        <x:is>
          <x:t xml:space="preserve">Other</x:t>
        </x:is>
      </x:c>
      <x:c r="D21" s="361" t="n">
        <x:v>10</x:v>
      </x:c>
      <x:c r="E21" s="361" t="n">
        <x:v>12.19</x:v>
      </x:c>
      <x:c r="F21" s="361" t="n">
        <x:v>2.19</x:v>
      </x:c>
      <x:c r="G21" s="364" t="n">
        <x:v>0.2189999999999999</x:v>
      </x:c>
      <x:c r="H21" s="362" t="n">
        <x:v>99.589</x:v>
      </x:c>
      <x:c r="I21" s="365" t="inlineStr">
        <x:is>
          <x:t xml:space="preserve">Overfilled</x:t>
        </x:is>
      </x:c>
      <x:c r="J21" s="361" t="inlineStr">
        <x:is>
          <x:t xml:space="preserve">Janoshik</x:t>
        </x:is>
      </x:c>
      <x:c r="K21" s="361" t="inlineStr">
        <x:is>
          <x:t xml:space="preserve">Confirmed</x:t>
        </x:is>
      </x:c>
      <x:c r="L21" s="366" t="n">
        <x:v>46057</x:v>
      </x:c>
      <x:c r="M21" s="361" t="inlineStr">
        <x:is>
          <x:t xml:space="preserve">#105219</x:t>
        </x:is>
      </x:c>
      <x:c r="N21" s="361" t="inlineStr">
        <x:is>
          <x:t xml:space="preserve">ZR7I3B74I9KC</x:t>
        </x:is>
      </x:c>
      <x:c r="O21" s="361" t="inlineStr">
        <x:is>
          <x:t xml:space="preserve">2026.01.26.hva16</x:t>
        </x:is>
      </x:c>
      <x:c r="P21" s="361" t="inlineStr">
        <x:is>
          <x:t xml:space="preserve">Janoshik verify key</x:t>
        </x:is>
      </x:c>
      <x:c r="Q21" s="367" t="inlineStr">
        <x:is>
          <x:t xml:space="preserve">Pass</x:t>
        </x:is>
      </x:c>
      <x:c r="R21" s="361" t="inlineStr">
        <x:is>
          <x:t xml:space="preserve">Duplicates removed by same lab/report/date/product</x:t>
        </x:is>
      </x:c>
      <x:c r="S21" s="361" t="inlineStr">
        <x:is>
          <x:t xml:space="preserve">Overfilled</x:t>
        </x:is>
      </x:c>
      <x:c r="T21" s="368" t="inlineStr">
        <x:is>
          <x:t xml:space="preserve">Not Listed</x:t>
        </x:is>
      </x:c>
      <x:c r="U21" s="368" t="inlineStr">
        <x:is>
          <x:t xml:space="preserve">Not Listed</x:t>
        </x:is>
      </x:c>
      <x:c r="V21" s="361" t="inlineStr">
        <x:is>
          <x:t xml:space="preserve">Crimp/cap color not listed or visible in the COA/testing record.</x:t>
        </x:is>
      </x:c>
    </x:row>
    <x:row r="22">
      <x:c r="A22" s="361" t="inlineStr">
        <x:is>
          <x:t xml:space="preserve">COA-0021</x:t>
        </x:is>
      </x:c>
      <x:c r="B22" s="361" t="inlineStr">
        <x:is>
          <x:t xml:space="preserve">CJC-1295 No DAC</x:t>
        </x:is>
      </x:c>
      <x:c r="C22" s="361" t="inlineStr">
        <x:is>
          <x:t xml:space="preserve">Growth Hormone Support</x:t>
        </x:is>
      </x:c>
      <x:c r="D22" s="361" t="n">
        <x:v>10</x:v>
      </x:c>
      <x:c r="E22" s="361" t="n">
        <x:v>9.66</x:v>
      </x:c>
      <x:c r="F22" s="361" t="n">
        <x:v>-0.3399999999999999</x:v>
      </x:c>
      <x:c r="G22" s="364" t="n">
        <x:v>-0.03399999999999999</x:v>
      </x:c>
      <x:c r="H22" s="362" t="n">
        <x:v>99.89700000000001</x:v>
      </x:c>
      <x:c r="I22" s="369" t="inlineStr">
        <x:is>
          <x:t xml:space="preserve">On label</x:t>
        </x:is>
      </x:c>
      <x:c r="J22" s="361" t="inlineStr">
        <x:is>
          <x:t xml:space="preserve">Janoshik</x:t>
        </x:is>
      </x:c>
      <x:c r="K22" s="361" t="inlineStr">
        <x:is>
          <x:t xml:space="preserve">Confirmed</x:t>
        </x:is>
      </x:c>
      <x:c r="L22" s="366" t="n">
        <x:v>46156</x:v>
      </x:c>
      <x:c r="M22" s="361" t="inlineStr">
        <x:is>
          <x:t xml:space="preserve">#155197</x:t>
        </x:is>
      </x:c>
      <x:c r="N22" s="361" t="inlineStr">
        <x:is>
          <x:t xml:space="preserve">TK4BPAPZF2HC</x:t>
        </x:is>
      </x:c>
      <x:c r="O22" s="361" t="inlineStr">
        <x:is>
          <x:t xml:space="preserve">260425</x:t>
        </x:is>
      </x:c>
      <x:c r="P22" s="361" t="inlineStr">
        <x:is>
          <x:t xml:space="preserve">Janoshik verify key</x:t>
        </x:is>
      </x:c>
      <x:c r="Q22" s="367" t="inlineStr">
        <x:is>
          <x:t xml:space="preserve">Pass</x:t>
        </x:is>
      </x:c>
      <x:c r="R22" s="361" t="inlineStr">
        <x:is>
          <x:t xml:space="preserve">Duplicates removed by same lab/report/date/product</x:t>
        </x:is>
      </x:c>
      <x:c r="S22" s="361" t="inlineStr">
        <x:is>
          <x:t xml:space="preserve">Mod GRF 1-29</x:t>
        </x:is>
      </x:c>
      <x:c r="T22" s="368" t="inlineStr">
        <x:is>
          <x:t xml:space="preserve">Not Listed</x:t>
        </x:is>
      </x:c>
      <x:c r="U22" s="368" t="inlineStr">
        <x:is>
          <x:t xml:space="preserve">Not Listed</x:t>
        </x:is>
      </x:c>
      <x:c r="V22" s="361" t="inlineStr">
        <x:is>
          <x:t xml:space="preserve">Crimp/cap color not listed or visible in the COA/testing record.</x:t>
        </x:is>
      </x:c>
    </x:row>
    <x:row r="23">
      <x:c r="A23" s="361" t="inlineStr">
        <x:is>
          <x:t xml:space="preserve">COA-0022</x:t>
        </x:is>
      </x:c>
      <x:c r="B23" s="361" t="inlineStr">
        <x:is>
          <x:t xml:space="preserve">Retatrutide</x:t>
        </x:is>
      </x:c>
      <x:c r="C23" s="361" t="inlineStr">
        <x:is>
          <x:t xml:space="preserve">GLP-1 / Weight</x:t>
        </x:is>
      </x:c>
      <x:c r="D23" s="361" t="n">
        <x:v>30</x:v>
      </x:c>
      <x:c r="E23" s="361" t="n">
        <x:v>34.77</x:v>
      </x:c>
      <x:c r="F23" s="361" t="n">
        <x:v>4.770000000000003</x:v>
      </x:c>
      <x:c r="G23" s="364" t="n">
        <x:v>0.1590000000000001</x:v>
      </x:c>
      <x:c r="H23" s="362" t="n">
        <x:v>99.825</x:v>
      </x:c>
      <x:c r="I23" s="365" t="inlineStr">
        <x:is>
          <x:t xml:space="preserve">Overfilled</x:t>
        </x:is>
      </x:c>
      <x:c r="J23" s="361" t="inlineStr">
        <x:is>
          <x:t xml:space="preserve">Janoshik</x:t>
        </x:is>
      </x:c>
      <x:c r="K23" s="361" t="inlineStr">
        <x:is>
          <x:t xml:space="preserve">Confirmed</x:t>
        </x:is>
      </x:c>
      <x:c r="L23" s="366" t="n">
        <x:v>46156</x:v>
      </x:c>
      <x:c r="M23" s="361" t="inlineStr">
        <x:is>
          <x:t xml:space="preserve">#155167</x:t>
        </x:is>
      </x:c>
      <x:c r="N23" s="361" t="inlineStr">
        <x:is>
          <x:t xml:space="preserve">GHCSPKL4C6CX</x:t>
        </x:is>
      </x:c>
      <x:c r="O23" s="361" t="inlineStr">
        <x:is>
          <x:t xml:space="preserve">260425</x:t>
        </x:is>
      </x:c>
      <x:c r="P23" s="361" t="inlineStr">
        <x:is>
          <x:t xml:space="preserve">Janoshik verify key</x:t>
        </x:is>
      </x:c>
      <x:c r="Q23" s="367" t="inlineStr">
        <x:is>
          <x:t xml:space="preserve">Pass</x:t>
        </x:is>
      </x:c>
      <x:c r="R23" s="361" t="inlineStr">
        <x:is>
          <x:t xml:space="preserve">Unique Janoshik report/date/product</x:t>
        </x:is>
      </x:c>
      <x:c r="S23" s="361" t="inlineStr">
        <x:is>
          <x:t xml:space="preserve">RT30 Retatrutide 30mg; common GLP-1 blind test; overfilled.</x:t>
        </x:is>
      </x:c>
      <x:c r="T23" s="368" t="inlineStr">
        <x:is>
          <x:t xml:space="preserve">Not Listed</x:t>
        </x:is>
      </x:c>
      <x:c r="U23" s="368" t="inlineStr">
        <x:is>
          <x:t xml:space="preserve">Not Listed</x:t>
        </x:is>
      </x:c>
      <x:c r="V23" s="361" t="inlineStr">
        <x:is>
          <x:t xml:space="preserve">Crimp/cap color not listed or visible in the COA/testing record.</x:t>
        </x:is>
      </x:c>
    </x:row>
    <x:row r="24">
      <x:c r="A24" s="361" t="inlineStr">
        <x:is>
          <x:t xml:space="preserve">COA-0023</x:t>
        </x:is>
      </x:c>
      <x:c r="B24" s="361" t="inlineStr">
        <x:is>
          <x:t xml:space="preserve">Tirzepatide</x:t>
        </x:is>
      </x:c>
      <x:c r="C24" s="361" t="inlineStr">
        <x:is>
          <x:t xml:space="preserve">GLP-1 / Weight</x:t>
        </x:is>
      </x:c>
      <x:c r="D24" s="361" t="n">
        <x:v>15</x:v>
      </x:c>
      <x:c r="E24" s="361" t="n">
        <x:v>16.18</x:v>
      </x:c>
      <x:c r="F24" s="361" t="n">
        <x:v>1.18</x:v>
      </x:c>
      <x:c r="G24" s="364" t="n">
        <x:v>0.07866666666666665</x:v>
      </x:c>
      <x:c r="H24" s="362" t="n">
        <x:v>99.73099999999999</x:v>
      </x:c>
      <x:c r="I24" s="365" t="inlineStr">
        <x:is>
          <x:t xml:space="preserve">Overfilled</x:t>
        </x:is>
      </x:c>
      <x:c r="J24" s="361" t="inlineStr">
        <x:is>
          <x:t xml:space="preserve">Janoshik</x:t>
        </x:is>
      </x:c>
      <x:c r="K24" s="361" t="inlineStr">
        <x:is>
          <x:t xml:space="preserve">Confirmed</x:t>
        </x:is>
      </x:c>
      <x:c r="L24" s="366" t="n">
        <x:v>46156</x:v>
      </x:c>
      <x:c r="M24" s="361" t="inlineStr">
        <x:is>
          <x:t xml:space="preserve">#155127</x:t>
        </x:is>
      </x:c>
      <x:c r="N24" s="361" t="inlineStr">
        <x:is>
          <x:t xml:space="preserve">PD278BSFA1D9</x:t>
        </x:is>
      </x:c>
      <x:c r="O24" s="361" t="inlineStr">
        <x:is>
          <x:t xml:space="preserve">260425</x:t>
        </x:is>
      </x:c>
      <x:c r="P24" s="361" t="inlineStr">
        <x:is>
          <x:t xml:space="preserve">Janoshik verify key</x:t>
        </x:is>
      </x:c>
      <x:c r="Q24" s="367" t="inlineStr">
        <x:is>
          <x:t xml:space="preserve">Pass</x:t>
        </x:is>
      </x:c>
      <x:c r="R24" s="361" t="inlineStr">
        <x:is>
          <x:t xml:space="preserve">Unique Janoshik report/date/product</x:t>
        </x:is>
      </x:c>
      <x:c r="S24" s="361" t="inlineStr">
        <x:is>
          <x:t xml:space="preserve">T15 Tirzepatide 15mg; common GLP-1 blind test; overfilled.</x:t>
        </x:is>
      </x:c>
      <x:c r="T24" s="368" t="inlineStr">
        <x:is>
          <x:t xml:space="preserve">Not Listed</x:t>
        </x:is>
      </x:c>
      <x:c r="U24" s="368" t="inlineStr">
        <x:is>
          <x:t xml:space="preserve">Not Listed</x:t>
        </x:is>
      </x:c>
      <x:c r="V24" s="361" t="inlineStr">
        <x:is>
          <x:t xml:space="preserve">Crimp/cap color not listed or visible in the COA/testing record.</x:t>
        </x:is>
      </x:c>
    </x:row>
    <x:row r="25">
      <x:c r="A25" s="361" t="inlineStr">
        <x:is>
          <x:t xml:space="preserve">COA-0024</x:t>
        </x:is>
      </x:c>
      <x:c r="B25" s="361" t="inlineStr">
        <x:is>
          <x:t xml:space="preserve">Retatrutide</x:t>
        </x:is>
      </x:c>
      <x:c r="C25" s="361" t="inlineStr">
        <x:is>
          <x:t xml:space="preserve">GLP-1 / Weight</x:t>
        </x:is>
      </x:c>
      <x:c r="D25" s="361" t="n">
        <x:v>20</x:v>
      </x:c>
      <x:c r="E25" s="361" t="n">
        <x:v>22.47</x:v>
      </x:c>
      <x:c r="F25" s="361" t="n">
        <x:v>2.469999999999999</x:v>
      </x:c>
      <x:c r="G25" s="364" t="n">
        <x:v>0.1234999999999999</x:v>
      </x:c>
      <x:c r="H25" s="362" t="n">
        <x:v>99.86</x:v>
      </x:c>
      <x:c r="I25" s="365" t="inlineStr">
        <x:is>
          <x:t xml:space="preserve">Overfilled</x:t>
        </x:is>
      </x:c>
      <x:c r="J25" s="361" t="inlineStr">
        <x:is>
          <x:t xml:space="preserve">Freedom Diagnostics</x:t>
        </x:is>
      </x:c>
      <x:c r="K25" s="361" t="inlineStr">
        <x:is>
          <x:t xml:space="preserve">Confirmed</x:t>
        </x:is>
      </x:c>
      <x:c r="L25" s="366" t="inlineStr">
        <x:is>
          <x:t xml:space="preserve">2026-06-14</x:t>
        </x:is>
      </x:c>
      <x:c r="M25" s="361" t="inlineStr">
        <x:is>
          <x:t xml:space="preserve">Redacted</x:t>
        </x:is>
      </x:c>
      <x:c r="N25" s="361" t="inlineStr">
        <x:is>
          <x:t xml:space="preserve">N/A</x:t>
        </x:is>
      </x:c>
      <x:c r="O25" s="361" t="inlineStr">
        <x:is>
          <x:t xml:space="preserve">Freedom-RT20-20260614-ClearGreen</x:t>
        </x:is>
      </x:c>
      <x:c r="P25" s="361" t="inlineStr">
        <x:is>
          <x:t xml:space="preserve">Freedom Diagnostics COA image</x:t>
        </x:is>
      </x:c>
      <x:c r="Q25" s="367" t="inlineStr">
        <x:is>
          <x:t xml:space="preserve">Pass</x:t>
        </x:is>
      </x:c>
      <x:c r="R25" s="361" t="inlineStr">
        <x:is>
          <x:t xml:space="preserve">Unique Freedom Diagnostics batch / do not merge with prior Retatrutide COAs</x:t>
        </x:is>
      </x:c>
      <x:c r="S25" s="361" t="inlineStr">
        <x:is>
          <x:t xml:space="preserve">Retatrutide 20mg, separate batch from existing Retatrutide records; received 06/11/2026, reported 06/14/2026.</x:t>
        </x:is>
      </x:c>
      <x:c r="T25" s="368" t="inlineStr">
        <x:is>
          <x:t xml:space="preserve">Not Listed</x:t>
        </x:is>
      </x:c>
      <x:c r="U25" s="375" t="inlineStr">
        <x:is>
          <x:t xml:space="preserve">Clear Green</x:t>
        </x:is>
      </x:c>
      <x:c r="V25" s="361" t="inlineStr">
        <x:is>
          <x:t xml:space="preserve">Clear green cap per COA image</x:t>
        </x:is>
      </x:c>
    </x:row>
  </x:sheetData>
  <x:conditionalFormatting sqref="T2:T22">
    <x:cfRule type="expression" dxfId="6" priority="1">
      <x:formula>$T2="Black"</x:formula>
    </x:cfRule>
    <x:cfRule type="expression" dxfId="7" priority="2">
      <x:formula>$T2="Blue"</x:formula>
    </x:cfRule>
    <x:cfRule type="expression" dxfId="8" priority="3">
      <x:formula>$T2="Red"</x:formula>
    </x:cfRule>
    <x:cfRule type="expression" dxfId="9" priority="4">
      <x:formula>$T2="Green"</x:formula>
    </x:cfRule>
    <x:cfRule type="expression" dxfId="10" priority="5">
      <x:formula>$T2="Purple"</x:formula>
    </x:cfRule>
    <x:cfRule type="expression" dxfId="11" priority="6">
      <x:formula>$T2="Gold"</x:formula>
    </x:cfRule>
    <x:cfRule type="expression" dxfId="12" priority="7">
      <x:formula>$T2="Silver"</x:formula>
    </x:cfRule>
    <x:cfRule type="expression" dxfId="13" priority="8">
      <x:formula>$T2="White"</x:formula>
    </x:cfRule>
    <x:cfRule type="expression" dxfId="14" priority="9">
      <x:formula>$T2="Clear"</x:formula>
    </x:cfRule>
    <x:cfRule type="expression" dxfId="12" priority="10">
      <x:formula>$T2="Gray"</x:formula>
    </x:cfRule>
    <x:cfRule type="expression" dxfId="16" priority="11">
      <x:formula>$T2="Orange"</x:formula>
    </x:cfRule>
    <x:cfRule type="expression" dxfId="17" priority="12">
      <x:formula>$T2="Pink"</x:formula>
    </x:cfRule>
    <x:cfRule type="expression" dxfId="18" priority="13">
      <x:formula>$T2="Yellow"</x:formula>
    </x:cfRule>
    <x:cfRule type="expression" dxfId="19" priority="14">
      <x:formula>$T2="Teal"</x:formula>
    </x:cfRule>
    <x:cfRule type="expression" dxfId="20" priority="15">
      <x:formula>$T2="Unknown"</x:formula>
    </x:cfRule>
    <x:cfRule type="expression" dxfId="20" priority="16">
      <x:formula>$T2="Not Listed"</x:formula>
    </x:cfRule>
    <x:cfRule type="expression" dxfId="22" priority="17">
      <x:formula>$T2="Mixed/Multiple"</x:formula>
    </x:cfRule>
  </x:conditionalFormatting>
  <x:conditionalFormatting sqref="U2:U22">
    <x:cfRule type="expression" dxfId="6" priority="18">
      <x:formula>$U2="Black"</x:formula>
    </x:cfRule>
    <x:cfRule type="expression" dxfId="7" priority="19">
      <x:formula>$U2="Blue"</x:formula>
    </x:cfRule>
    <x:cfRule type="expression" dxfId="8" priority="20">
      <x:formula>$U2="Red"</x:formula>
    </x:cfRule>
    <x:cfRule type="expression" dxfId="9" priority="21">
      <x:formula>$U2="Green"</x:formula>
    </x:cfRule>
    <x:cfRule type="expression" dxfId="10" priority="22">
      <x:formula>$U2="Purple"</x:formula>
    </x:cfRule>
    <x:cfRule type="expression" dxfId="11" priority="23">
      <x:formula>$U2="Gold"</x:formula>
    </x:cfRule>
    <x:cfRule type="expression" dxfId="12" priority="24">
      <x:formula>$U2="Silver"</x:formula>
    </x:cfRule>
    <x:cfRule type="expression" dxfId="13" priority="25">
      <x:formula>$U2="White"</x:formula>
    </x:cfRule>
    <x:cfRule type="expression" dxfId="14" priority="26">
      <x:formula>$U2="Clear"</x:formula>
    </x:cfRule>
    <x:cfRule type="expression" dxfId="12" priority="27">
      <x:formula>$U2="Gray"</x:formula>
    </x:cfRule>
    <x:cfRule type="expression" dxfId="16" priority="28">
      <x:formula>$U2="Orange"</x:formula>
    </x:cfRule>
    <x:cfRule type="expression" dxfId="17" priority="29">
      <x:formula>$U2="Pink"</x:formula>
    </x:cfRule>
    <x:cfRule type="expression" dxfId="18" priority="30">
      <x:formula>$U2="Yellow"</x:formula>
    </x:cfRule>
    <x:cfRule type="expression" dxfId="19" priority="31">
      <x:formula>$U2="Teal"</x:formula>
    </x:cfRule>
    <x:cfRule type="expression" dxfId="20" priority="32">
      <x:formula>$U2="Unknown"</x:formula>
    </x:cfRule>
    <x:cfRule type="expression" dxfId="20" priority="33">
      <x:formula>$U2="Not Listed"</x:formula>
    </x:cfRule>
    <x:cfRule type="expression" dxfId="22" priority="34">
      <x:formula>$U2="Mixed/Multiple"</x:formula>
    </x:cfRule>
  </x:conditionalFormatting>
  <x:dataValidations count="4">
    <x:dataValidation type="list" allowBlank="0" showDropDown="0" showInputMessage="0" showErrorMessage="0" sqref="T1:U22">
      <x:formula1>Lists!$G$2:$G$18</x:formula1>
    </x:dataValidation>
    <x:dataValidation type="list" allowBlank="1" showDropDown="0" showInputMessage="0" showErrorMessage="0" sqref="T2:T200">
      <x:formula1>=Lists!$G$2:$G$17</x:formula1>
    </x:dataValidation>
    <x:dataValidation type="list" allowBlank="1" showDropDown="0" showInputMessage="0" showErrorMessage="0" sqref="U2:U200">
      <x:formula1>=Lists!$G$2:$G$17</x:formula1>
    </x:dataValidation>
    <x:dataValidation type="list" allowBlank="1" showDropDown="0" showInputMessage="0" showErrorMessage="0" sqref="V2:V200">
      <x:formula1>=Lists!$H$2:$H$8</x:formula1>
    </x:dataValidation>
  </x:dataValidations>
  <x:pageMargins left="0.7" right="0.7" top="0.75" bottom="0.75" header="0.3" footer="0.3"/>
  <x:tableParts count="1">
    <x:tablePart xmlns:r="http://schemas.openxmlformats.org/officeDocument/2006/relationships" r:id="R71edd024bda44499"/>
  </x:tableParts>
</x:worksheet>
</file>

<file path=xl/worksheets/sheet5.xml><?xml version="1.0" encoding="utf-8"?>
<x:worksheet xmlns:x="http://schemas.openxmlformats.org/spreadsheetml/2006/main">
  <x:sheetFormatPr baseColWidth="8" defaultRowHeight="13.800000190734863"/>
  <x:cols>
    <x:col min="1" max="1" width="13.59765625" style="198" customWidth="1"/>
    <x:col min="2" max="2" width="35" style="198" customWidth="1"/>
    <x:col min="3" max="3" width="26.796875" style="198" customWidth="1"/>
    <x:col min="4" max="4" width="35" style="198" customWidth="1"/>
    <x:col min="5" max="5" width="13" style="198" customWidth="1"/>
    <x:col min="6" max="6" width="13" style="198" customWidth="1"/>
    <x:col min="7" max="7" width="13"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199" t="inlineStr">
        <x:is>
          <x:t xml:space="preserve">Lab</x:t>
        </x:is>
      </x:c>
      <x:c r="B1" s="199" t="inlineStr">
        <x:is>
          <x:t xml:space="preserve">Compounds matched to this lab</x:t>
        </x:is>
      </x:c>
      <x:c r="C1" s="199" t="inlineStr">
        <x:is>
          <x:t xml:space="preserve">Evidence / Source Type</x:t>
        </x:is>
      </x:c>
      <x:c r="D1" s="199" t="inlineStr">
        <x:is>
          <x:t xml:space="preserve">Notes</x:t>
        </x:is>
      </x:c>
      <x:c r="E1" s="200" t="n"/>
      <x:c r="F1" s="200" t="n"/>
      <x:c r="G1" s="200" t="n"/>
      <x:c r="H1" s="200" t="n"/>
      <x:c r="I1" s="200" t="n"/>
      <x:c r="J1" s="200" t="n"/>
      <x:c r="K1" s="200" t="n"/>
      <x:c r="L1" s="200" t="n"/>
      <x:c r="M1" s="200" t="n"/>
      <x:c r="N1" s="200" t="n"/>
      <x:c r="O1" s="200" t="n"/>
      <x:c r="P1" s="200" t="n"/>
      <x:c r="Q1" s="200" t="n"/>
      <x:c r="R1" s="200" t="n"/>
      <x:c r="S1" s="200" t="n"/>
      <x:c r="T1" s="200" t="n"/>
      <x:c r="U1" s="200" t="n"/>
      <x:c r="V1" s="200" t="n"/>
      <x:c r="W1" s="200" t="n"/>
      <x:c r="X1" s="200" t="n"/>
      <x:c r="Y1" s="200" t="n"/>
      <x:c r="Z1" s="200" t="n"/>
    </x:row>
    <x:row r="2">
      <x:c r="A2" s="200" t="inlineStr">
        <x:is>
          <x:t xml:space="preserve">Janoshik</x:t>
        </x:is>
      </x:c>
      <x:c r="B2" s="200" t="inlineStr">
        <x:is>
          <x:t xml:space="preserve">Retatrutide, Tirzepatide 30, Cagrilintide, AOD-9604, MOTS-C, TB-500, BPC-157, SS-31, KPV, CJC-1295 No DAC</x:t>
        </x:is>
      </x:c>
      <x:c r="C2" s="200" t="inlineStr">
        <x:is>
          <x:t xml:space="preserve">Janoshik task number + verify key</x:t>
        </x:is>
      </x:c>
      <x:c r="D2" s="200" t="inlineStr">
        <x:is>
          <x:t xml:space="preserve">Task/report numbers preserved in COA Database</x:t>
        </x:is>
      </x:c>
      <x:c r="E2" s="200" t="n"/>
      <x:c r="F2" s="200" t="n"/>
      <x:c r="G2" s="200" t="n"/>
      <x:c r="H2" s="200" t="n"/>
      <x:c r="I2" s="200" t="n"/>
      <x:c r="J2" s="200" t="n"/>
      <x:c r="K2" s="200" t="n"/>
      <x:c r="L2" s="200" t="n"/>
      <x:c r="M2" s="200" t="n"/>
      <x:c r="N2" s="200" t="n"/>
      <x:c r="O2" s="200" t="n"/>
      <x:c r="P2" s="200" t="n"/>
      <x:c r="Q2" s="200" t="n"/>
      <x:c r="R2" s="200" t="n"/>
      <x:c r="S2" s="200" t="n"/>
      <x:c r="T2" s="200" t="n"/>
      <x:c r="U2" s="200" t="n"/>
      <x:c r="V2" s="200" t="n"/>
      <x:c r="W2" s="200" t="n"/>
      <x:c r="X2" s="200" t="n"/>
      <x:c r="Y2" s="200" t="n"/>
      <x:c r="Z2" s="200" t="n"/>
    </x:row>
    <x:row r="3">
      <x:c r="A3" s="200" t="inlineStr">
        <x:is>
          <x:t xml:space="preserve">BT Labs</x:t>
        </x:is>
      </x:c>
      <x:c r="B3" s="200" t="inlineStr">
        <x:is>
          <x:t xml:space="preserve">Tirzepatide 20, Tirzepatide 40, Tirzepatide 60</x:t>
        </x:is>
      </x:c>
      <x:c r="C3" s="200" t="inlineStr">
        <x:is>
          <x:t xml:space="preserve">BT Labs report number</x:t>
        </x:is>
      </x:c>
      <x:c r="D3" s="200" t="inlineStr">
        <x:is>
          <x:t xml:space="preserve">BT Labs reports use IF-824-QSA-TR006 report IDs</x:t>
        </x:is>
      </x:c>
      <x:c r="E3" s="200" t="n"/>
      <x:c r="F3" s="200" t="n"/>
      <x:c r="G3" s="200" t="n"/>
      <x:c r="H3" s="200" t="n"/>
      <x:c r="I3" s="200" t="n"/>
      <x:c r="J3" s="200" t="n"/>
      <x:c r="K3" s="200" t="n"/>
      <x:c r="L3" s="200" t="n"/>
      <x:c r="M3" s="200" t="n"/>
      <x:c r="N3" s="200" t="n"/>
      <x:c r="O3" s="200" t="n"/>
      <x:c r="P3" s="200" t="n"/>
      <x:c r="Q3" s="200" t="n"/>
      <x:c r="R3" s="200" t="n"/>
      <x:c r="S3" s="200" t="n"/>
      <x:c r="T3" s="200" t="n"/>
      <x:c r="U3" s="200" t="n"/>
      <x:c r="V3" s="200" t="n"/>
      <x:c r="W3" s="200" t="n"/>
      <x:c r="X3" s="200" t="n"/>
      <x:c r="Y3" s="200" t="n"/>
      <x:c r="Z3" s="200" t="n"/>
    </x:row>
    <x:row r="4">
      <x:c r="A4" s="200" t="inlineStr">
        <x:is>
          <x:t xml:space="preserve">Kovera Labs</x:t>
        </x:is>
      </x:c>
      <x:c r="B4" s="200" t="inlineStr">
        <x:is>
          <x:t xml:space="preserve">Retatrutide 5, Retatrutide 10 / Trivial-3R, Retatrutide 15</x:t>
        </x:is>
      </x:c>
      <x:c r="C4" s="200" t="inlineStr">
        <x:is>
          <x:t xml:space="preserve">Kovera certificate</x:t>
        </x:is>
      </x:c>
      <x:c r="D4" s="200" t="inlineStr">
        <x:is>
          <x:t xml:space="preserve">Heavy metals/endotoxin screening shown on certificates</x:t>
        </x:is>
      </x:c>
      <x:c r="E4" s="200" t="n"/>
      <x:c r="F4" s="200" t="n"/>
      <x:c r="G4" s="200" t="n"/>
      <x:c r="H4" s="200" t="n"/>
      <x:c r="I4" s="200" t="n"/>
      <x:c r="J4" s="200" t="n"/>
      <x:c r="K4" s="200" t="n"/>
      <x:c r="L4" s="200" t="n"/>
      <x:c r="M4" s="200" t="n"/>
      <x:c r="N4" s="200" t="n"/>
      <x:c r="O4" s="200" t="n"/>
      <x:c r="P4" s="200" t="n"/>
      <x:c r="Q4" s="200" t="n"/>
      <x:c r="R4" s="200" t="n"/>
      <x:c r="S4" s="200" t="n"/>
      <x:c r="T4" s="200" t="n"/>
      <x:c r="U4" s="200" t="n"/>
      <x:c r="V4" s="200" t="n"/>
      <x:c r="W4" s="200" t="n"/>
      <x:c r="X4" s="200" t="n"/>
      <x:c r="Y4" s="200" t="n"/>
      <x:c r="Z4" s="200" t="n"/>
    </x:row>
    <x:row r="5">
      <x:c r="A5" s="200" t="inlineStr">
        <x:is>
          <x:t xml:space="preserve">Aminos Analytics</x:t>
        </x:is>
      </x:c>
      <x:c r="B5" s="200" t="inlineStr">
        <x:is>
          <x:t xml:space="preserve">Retatrutide</x:t>
        </x:is>
      </x:c>
      <x:c r="C5" s="200" t="inlineStr">
        <x:is>
          <x:t xml:space="preserve">Aminos certificate</x:t>
        </x:is>
      </x:c>
      <x:c r="D5" s="200" t="inlineStr">
        <x:is>
          <x:t xml:space="preserve">Labeled quantity unclear in image; marked N/A/unclear</x:t>
        </x:is>
      </x:c>
      <x:c r="E5" s="200" t="n"/>
      <x:c r="F5" s="200" t="n"/>
      <x:c r="G5" s="200" t="n"/>
      <x:c r="H5" s="200" t="n"/>
      <x:c r="I5" s="200" t="n"/>
      <x:c r="J5" s="200" t="n"/>
      <x:c r="K5" s="200" t="n"/>
      <x:c r="L5" s="200" t="n"/>
      <x:c r="M5" s="200" t="n"/>
      <x:c r="N5" s="200" t="n"/>
      <x:c r="O5" s="200" t="n"/>
      <x:c r="P5" s="200" t="n"/>
      <x:c r="Q5" s="200" t="n"/>
      <x:c r="R5" s="200" t="n"/>
      <x:c r="S5" s="200" t="n"/>
      <x:c r="T5" s="200" t="n"/>
      <x:c r="U5" s="200" t="n"/>
      <x:c r="V5" s="200" t="n"/>
      <x:c r="W5" s="200" t="n"/>
      <x:c r="X5" s="200" t="n"/>
      <x:c r="Y5" s="200" t="n"/>
      <x:c r="Z5" s="200" t="n"/>
    </x:row>
    <x:row r="6">
      <x:c r="A6" s="200" t="inlineStr">
        <x:is>
          <x:t xml:space="preserve">Freedom Diagnostics</x:t>
        </x:is>
      </x:c>
      <x:c r="B6" s="200" t="inlineStr">
        <x:is>
          <x:t xml:space="preserve">Retatrutide 20mg</x:t>
        </x:is>
      </x:c>
      <x:c r="C6" s="200" t="inlineStr">
        <x:is>
          <x:t xml:space="preserve">Freedom Diagnostics COA image</x:t>
        </x:is>
      </x:c>
      <x:c r="D6" s="200" t="inlineStr">
        <x:is>
          <x:t xml:space="preserve">Separate Freedom Diagnostics batch; not merged with prior Retatrutide records.</x:t>
        </x:is>
      </x:c>
      <x:c r="E6" s="200" t="n"/>
      <x:c r="F6" s="200" t="n"/>
      <x:c r="G6" s="200" t="n"/>
      <x:c r="H6" s="200" t="n"/>
      <x:c r="I6" s="200" t="n"/>
      <x:c r="J6" s="200" t="n"/>
      <x:c r="K6" s="200" t="n"/>
      <x:c r="L6" s="200" t="n"/>
      <x:c r="M6" s="200" t="n"/>
      <x:c r="N6" s="200" t="n"/>
      <x:c r="O6" s="200" t="n"/>
      <x:c r="P6" s="200" t="n"/>
      <x:c r="Q6" s="200" t="n"/>
      <x:c r="R6" s="200" t="n"/>
      <x:c r="S6" s="200" t="n"/>
      <x:c r="T6" s="200" t="n"/>
      <x:c r="U6" s="200" t="n"/>
      <x:c r="V6" s="200" t="n"/>
      <x:c r="W6" s="200" t="n"/>
      <x:c r="X6" s="200" t="n"/>
      <x:c r="Y6" s="200" t="n"/>
      <x:c r="Z6" s="200" t="n"/>
    </x:row>
    <x:row r="7">
      <x:c r="A7" s="200" t="n"/>
      <x:c r="B7" s="200" t="n"/>
      <x:c r="C7" s="200" t="n"/>
      <x:c r="D7" s="200" t="n"/>
      <x:c r="E7" s="200" t="n"/>
      <x:c r="F7" s="200" t="n"/>
      <x:c r="G7" s="200" t="n"/>
      <x:c r="H7" s="200" t="n"/>
      <x:c r="I7" s="200" t="n"/>
      <x:c r="J7" s="200" t="n"/>
      <x:c r="K7" s="200" t="n"/>
      <x:c r="L7" s="200" t="n"/>
      <x:c r="M7" s="200" t="n"/>
      <x:c r="N7" s="200" t="n"/>
      <x:c r="O7" s="200" t="n"/>
      <x:c r="P7" s="200" t="n"/>
      <x:c r="Q7" s="200" t="n"/>
      <x:c r="R7" s="200" t="n"/>
      <x:c r="S7" s="200" t="n"/>
      <x:c r="T7" s="200" t="n"/>
      <x:c r="U7" s="200" t="n"/>
      <x:c r="V7" s="200" t="n"/>
      <x:c r="W7" s="200" t="n"/>
      <x:c r="X7" s="200" t="n"/>
      <x:c r="Y7" s="200" t="n"/>
      <x:c r="Z7" s="200" t="n"/>
    </x:row>
    <x:row r="8">
      <x:c r="A8" s="200" t="n"/>
      <x:c r="B8" s="200" t="n"/>
      <x:c r="C8" s="200" t="n"/>
      <x:c r="D8" s="200" t="n"/>
      <x:c r="E8" s="200" t="n"/>
      <x:c r="F8" s="200" t="n"/>
      <x:c r="G8" s="200" t="n"/>
      <x:c r="H8" s="200" t="n"/>
      <x:c r="I8" s="200" t="n"/>
      <x:c r="J8" s="200" t="n"/>
      <x:c r="K8" s="200" t="n"/>
      <x:c r="L8" s="200" t="n"/>
      <x:c r="M8" s="200" t="n"/>
      <x:c r="N8" s="200" t="n"/>
      <x:c r="O8" s="200" t="n"/>
      <x:c r="P8" s="200" t="n"/>
      <x:c r="Q8" s="200" t="n"/>
      <x:c r="R8" s="200" t="n"/>
      <x:c r="S8" s="200" t="n"/>
      <x:c r="T8" s="200" t="n"/>
      <x:c r="U8" s="200" t="n"/>
      <x:c r="V8" s="200" t="n"/>
      <x:c r="W8" s="200" t="n"/>
      <x:c r="X8" s="200" t="n"/>
      <x:c r="Y8" s="200" t="n"/>
      <x:c r="Z8" s="200" t="n"/>
    </x:row>
    <x:row r="9">
      <x:c r="A9" s="200" t="n"/>
      <x:c r="B9" s="200" t="n"/>
      <x:c r="C9" s="200" t="n"/>
      <x:c r="D9" s="200" t="n"/>
      <x:c r="E9" s="200" t="n"/>
      <x:c r="F9" s="200" t="n"/>
      <x:c r="G9" s="200" t="n"/>
      <x:c r="H9" s="200" t="n"/>
      <x:c r="I9" s="200" t="n"/>
      <x:c r="J9" s="200" t="n"/>
      <x:c r="K9" s="200" t="n"/>
      <x:c r="L9" s="200" t="n"/>
      <x:c r="M9" s="200" t="n"/>
      <x:c r="N9" s="200" t="n"/>
      <x:c r="O9" s="200" t="n"/>
      <x:c r="P9" s="200" t="n"/>
      <x:c r="Q9" s="200" t="n"/>
      <x:c r="R9" s="200" t="n"/>
      <x:c r="S9" s="200" t="n"/>
      <x:c r="T9" s="200" t="n"/>
      <x:c r="U9" s="200" t="n"/>
      <x:c r="V9" s="200" t="n"/>
      <x:c r="W9" s="200" t="n"/>
      <x:c r="X9" s="200" t="n"/>
      <x:c r="Y9" s="200" t="n"/>
      <x:c r="Z9" s="200" t="n"/>
    </x:row>
    <x:row r="10">
      <x:c r="A10" s="200" t="n"/>
      <x:c r="B10" s="200" t="n"/>
      <x:c r="C10" s="200" t="n"/>
      <x:c r="D10" s="200" t="n"/>
      <x:c r="E10" s="200" t="n"/>
      <x:c r="F10" s="200" t="n"/>
      <x:c r="G10" s="200" t="n"/>
      <x:c r="H10" s="200" t="n"/>
      <x:c r="I10" s="200" t="n"/>
      <x:c r="J10" s="200" t="n"/>
      <x:c r="K10" s="200" t="n"/>
      <x:c r="L10" s="200" t="n"/>
      <x:c r="M10" s="200" t="n"/>
      <x:c r="N10" s="200" t="n"/>
      <x:c r="O10" s="200" t="n"/>
      <x:c r="P10" s="200" t="n"/>
      <x:c r="Q10" s="200" t="n"/>
      <x:c r="R10" s="200" t="n"/>
      <x:c r="S10" s="200" t="n"/>
      <x:c r="T10" s="200" t="n"/>
      <x:c r="U10" s="200" t="n"/>
      <x:c r="V10" s="200" t="n"/>
      <x:c r="W10" s="200" t="n"/>
      <x:c r="X10" s="200" t="n"/>
      <x:c r="Y10" s="200" t="n"/>
      <x:c r="Z10" s="200" t="n"/>
    </x:row>
    <x:row r="11">
      <x:c r="A11" s="200" t="n"/>
      <x:c r="B11" s="200" t="n"/>
      <x:c r="C11" s="200" t="n"/>
      <x:c r="D11" s="200" t="n"/>
      <x:c r="E11" s="200" t="n"/>
      <x:c r="F11" s="200" t="n"/>
      <x:c r="G11" s="200" t="n"/>
      <x:c r="H11" s="200" t="n"/>
      <x:c r="I11" s="200" t="n"/>
      <x:c r="J11" s="200" t="n"/>
      <x:c r="K11" s="200" t="n"/>
      <x:c r="L11" s="200" t="n"/>
      <x:c r="M11" s="200" t="n"/>
      <x:c r="N11" s="200" t="n"/>
      <x:c r="O11" s="200" t="n"/>
      <x:c r="P11" s="200" t="n"/>
      <x:c r="Q11" s="200" t="n"/>
      <x:c r="R11" s="200" t="n"/>
      <x:c r="S11" s="200" t="n"/>
      <x:c r="T11" s="200" t="n"/>
      <x:c r="U11" s="200" t="n"/>
      <x:c r="V11" s="200" t="n"/>
      <x:c r="W11" s="200" t="n"/>
      <x:c r="X11" s="200" t="n"/>
      <x:c r="Y11" s="200" t="n"/>
      <x:c r="Z11" s="200" t="n"/>
    </x:row>
    <x:row r="12">
      <x:c r="A12" s="200" t="n"/>
      <x:c r="B12" s="200" t="n"/>
      <x:c r="C12" s="200" t="n"/>
      <x:c r="D12" s="200" t="n"/>
      <x:c r="E12" s="200" t="n"/>
      <x:c r="F12" s="200" t="n"/>
      <x:c r="G12" s="200" t="n"/>
      <x:c r="H12" s="200" t="n"/>
      <x:c r="I12" s="200" t="n"/>
      <x:c r="J12" s="200" t="n"/>
      <x:c r="K12" s="200" t="n"/>
      <x:c r="L12" s="200" t="n"/>
      <x:c r="M12" s="200" t="n"/>
      <x:c r="N12" s="200" t="n"/>
      <x:c r="O12" s="200" t="n"/>
      <x:c r="P12" s="200" t="n"/>
      <x:c r="Q12" s="200" t="n"/>
      <x:c r="R12" s="200" t="n"/>
      <x:c r="S12" s="200" t="n"/>
      <x:c r="T12" s="200" t="n"/>
      <x:c r="U12" s="200" t="n"/>
      <x:c r="V12" s="200" t="n"/>
      <x:c r="W12" s="200" t="n"/>
      <x:c r="X12" s="200" t="n"/>
      <x:c r="Y12" s="200" t="n"/>
      <x:c r="Z12" s="200" t="n"/>
    </x:row>
    <x:row r="13">
      <x:c r="A13" s="200" t="n"/>
      <x:c r="B13" s="200" t="n"/>
      <x:c r="C13" s="200" t="n"/>
      <x:c r="D13" s="200" t="n"/>
      <x:c r="E13" s="200" t="n"/>
      <x:c r="F13" s="200" t="n"/>
      <x:c r="G13" s="200" t="n"/>
      <x:c r="H13" s="200" t="n"/>
      <x:c r="I13" s="200" t="n"/>
      <x:c r="J13" s="200" t="n"/>
      <x:c r="K13" s="200" t="n"/>
      <x:c r="L13" s="200" t="n"/>
      <x:c r="M13" s="200" t="n"/>
      <x:c r="N13" s="200" t="n"/>
      <x:c r="O13" s="200" t="n"/>
      <x:c r="P13" s="200" t="n"/>
      <x:c r="Q13" s="200" t="n"/>
      <x:c r="R13" s="200" t="n"/>
      <x:c r="S13" s="200" t="n"/>
      <x:c r="T13" s="200" t="n"/>
      <x:c r="U13" s="200" t="n"/>
      <x:c r="V13" s="200" t="n"/>
      <x:c r="W13" s="200" t="n"/>
      <x:c r="X13" s="200" t="n"/>
      <x:c r="Y13" s="200" t="n"/>
      <x:c r="Z13" s="200" t="n"/>
    </x:row>
    <x:row r="14">
      <x:c r="A14" s="200" t="n"/>
      <x:c r="B14" s="200" t="n"/>
      <x:c r="C14" s="200" t="n"/>
      <x:c r="D14" s="200" t="n"/>
      <x:c r="E14" s="200" t="n"/>
      <x:c r="F14" s="200" t="n"/>
      <x:c r="G14" s="200" t="n"/>
      <x:c r="H14" s="200" t="n"/>
      <x:c r="I14" s="200" t="n"/>
      <x:c r="J14" s="200" t="n"/>
      <x:c r="K14" s="200" t="n"/>
      <x:c r="L14" s="200" t="n"/>
      <x:c r="M14" s="200" t="n"/>
      <x:c r="N14" s="200" t="n"/>
      <x:c r="O14" s="200" t="n"/>
      <x:c r="P14" s="200" t="n"/>
      <x:c r="Q14" s="200" t="n"/>
      <x:c r="R14" s="200" t="n"/>
      <x:c r="S14" s="200" t="n"/>
      <x:c r="T14" s="200" t="n"/>
      <x:c r="U14" s="200" t="n"/>
      <x:c r="V14" s="200" t="n"/>
      <x:c r="W14" s="200" t="n"/>
      <x:c r="X14" s="200" t="n"/>
      <x:c r="Y14" s="200" t="n"/>
      <x:c r="Z14" s="200" t="n"/>
    </x:row>
    <x:row r="15">
      <x:c r="A15" s="200" t="n"/>
      <x:c r="B15" s="200" t="n"/>
      <x:c r="C15" s="200" t="n"/>
      <x:c r="D15" s="200" t="n"/>
      <x:c r="E15" s="200" t="n"/>
      <x:c r="F15" s="200" t="n"/>
      <x:c r="G15" s="200" t="n"/>
      <x:c r="H15" s="200" t="n"/>
      <x:c r="I15" s="200" t="n"/>
      <x:c r="J15" s="200" t="n"/>
      <x:c r="K15" s="200" t="n"/>
      <x:c r="L15" s="200" t="n"/>
      <x:c r="M15" s="200" t="n"/>
      <x:c r="N15" s="200" t="n"/>
      <x:c r="O15" s="200" t="n"/>
      <x:c r="P15" s="200" t="n"/>
      <x:c r="Q15" s="200" t="n"/>
      <x:c r="R15" s="200" t="n"/>
      <x:c r="S15" s="200" t="n"/>
      <x:c r="T15" s="200" t="n"/>
      <x:c r="U15" s="200" t="n"/>
      <x:c r="V15" s="200" t="n"/>
      <x:c r="W15" s="200" t="n"/>
      <x:c r="X15" s="200" t="n"/>
      <x:c r="Y15" s="200" t="n"/>
      <x:c r="Z15" s="200" t="n"/>
    </x:row>
    <x:row r="16">
      <x:c r="A16" s="200" t="n"/>
      <x:c r="B16" s="200" t="n"/>
      <x:c r="C16" s="200" t="n"/>
      <x:c r="D16" s="200" t="n"/>
      <x:c r="E16" s="200" t="n"/>
      <x:c r="F16" s="200" t="n"/>
      <x:c r="G16" s="200" t="n"/>
      <x:c r="H16" s="200" t="n"/>
      <x:c r="I16" s="200" t="n"/>
      <x:c r="J16" s="200" t="n"/>
      <x:c r="K16" s="200" t="n"/>
      <x:c r="L16" s="200" t="n"/>
      <x:c r="M16" s="200" t="n"/>
      <x:c r="N16" s="200" t="n"/>
      <x:c r="O16" s="200" t="n"/>
      <x:c r="P16" s="200" t="n"/>
      <x:c r="Q16" s="200" t="n"/>
      <x:c r="R16" s="200" t="n"/>
      <x:c r="S16" s="200" t="n"/>
      <x:c r="T16" s="200" t="n"/>
      <x:c r="U16" s="200" t="n"/>
      <x:c r="V16" s="200" t="n"/>
      <x:c r="W16" s="200" t="n"/>
      <x:c r="X16" s="200" t="n"/>
      <x:c r="Y16" s="200" t="n"/>
      <x:c r="Z16" s="200" t="n"/>
    </x:row>
    <x:row r="17">
      <x:c r="A17" s="200" t="n"/>
      <x:c r="B17" s="200" t="n"/>
      <x:c r="C17" s="200" t="n"/>
      <x:c r="D17" s="200" t="n"/>
      <x:c r="E17" s="200" t="n"/>
      <x:c r="F17" s="200" t="n"/>
      <x:c r="G17" s="200" t="n"/>
      <x:c r="H17" s="200" t="n"/>
      <x:c r="I17" s="200" t="n"/>
      <x:c r="J17" s="200" t="n"/>
      <x:c r="K17" s="200" t="n"/>
      <x:c r="L17" s="200" t="n"/>
      <x:c r="M17" s="200" t="n"/>
      <x:c r="N17" s="200" t="n"/>
      <x:c r="O17" s="200" t="n"/>
      <x:c r="P17" s="200" t="n"/>
      <x:c r="Q17" s="200" t="n"/>
      <x:c r="R17" s="200" t="n"/>
      <x:c r="S17" s="200" t="n"/>
      <x:c r="T17" s="200" t="n"/>
      <x:c r="U17" s="200" t="n"/>
      <x:c r="V17" s="200" t="n"/>
      <x:c r="W17" s="200" t="n"/>
      <x:c r="X17" s="200" t="n"/>
      <x:c r="Y17" s="200" t="n"/>
      <x:c r="Z17" s="200" t="n"/>
    </x:row>
    <x:row r="18">
      <x:c r="A18" s="200" t="n"/>
      <x:c r="B18" s="200" t="n"/>
      <x:c r="C18" s="200" t="n"/>
      <x:c r="D18" s="200" t="n"/>
      <x:c r="E18" s="200" t="n"/>
      <x:c r="F18" s="200" t="n"/>
      <x:c r="G18" s="200" t="n"/>
      <x:c r="H18" s="200" t="n"/>
      <x:c r="I18" s="200" t="n"/>
      <x:c r="J18" s="200" t="n"/>
      <x:c r="K18" s="200" t="n"/>
      <x:c r="L18" s="200" t="n"/>
      <x:c r="M18" s="200" t="n"/>
      <x:c r="N18" s="200" t="n"/>
      <x:c r="O18" s="200" t="n"/>
      <x:c r="P18" s="200" t="n"/>
      <x:c r="Q18" s="200" t="n"/>
      <x:c r="R18" s="200" t="n"/>
      <x:c r="S18" s="200" t="n"/>
      <x:c r="T18" s="200" t="n"/>
      <x:c r="U18" s="200" t="n"/>
      <x:c r="V18" s="200" t="n"/>
      <x:c r="W18" s="200" t="n"/>
      <x:c r="X18" s="200" t="n"/>
      <x:c r="Y18" s="200" t="n"/>
      <x:c r="Z18" s="200" t="n"/>
    </x:row>
    <x:row r="19">
      <x:c r="A19" s="200" t="n"/>
      <x:c r="B19" s="200" t="n"/>
      <x:c r="C19" s="200" t="n"/>
      <x:c r="D19" s="200" t="n"/>
      <x:c r="E19" s="200" t="n"/>
      <x:c r="F19" s="200" t="n"/>
      <x:c r="G19" s="200" t="n"/>
      <x:c r="H19" s="200" t="n"/>
      <x:c r="I19" s="200" t="n"/>
      <x:c r="J19" s="200" t="n"/>
      <x:c r="K19" s="200" t="n"/>
      <x:c r="L19" s="200" t="n"/>
      <x:c r="M19" s="200" t="n"/>
      <x:c r="N19" s="200" t="n"/>
      <x:c r="O19" s="200" t="n"/>
      <x:c r="P19" s="200" t="n"/>
      <x:c r="Q19" s="200" t="n"/>
      <x:c r="R19" s="200" t="n"/>
      <x:c r="S19" s="200" t="n"/>
      <x:c r="T19" s="200" t="n"/>
      <x:c r="U19" s="200" t="n"/>
      <x:c r="V19" s="200" t="n"/>
      <x:c r="W19" s="200" t="n"/>
      <x:c r="X19" s="200" t="n"/>
      <x:c r="Y19" s="200" t="n"/>
      <x:c r="Z19" s="200" t="n"/>
    </x:row>
    <x:row r="20">
      <x:c r="A20" s="200" t="n"/>
      <x:c r="B20" s="200" t="n"/>
      <x:c r="C20" s="200" t="n"/>
      <x:c r="D20" s="200" t="n"/>
      <x:c r="E20" s="200" t="n"/>
      <x:c r="F20" s="200" t="n"/>
      <x:c r="G20" s="200" t="n"/>
      <x:c r="H20" s="200" t="n"/>
      <x:c r="I20" s="200" t="n"/>
      <x:c r="J20" s="200" t="n"/>
      <x:c r="K20" s="200" t="n"/>
      <x:c r="L20" s="200" t="n"/>
      <x:c r="M20" s="200" t="n"/>
      <x:c r="N20" s="200" t="n"/>
      <x:c r="O20" s="200" t="n"/>
      <x:c r="P20" s="200" t="n"/>
      <x:c r="Q20" s="200" t="n"/>
      <x:c r="R20" s="200" t="n"/>
      <x:c r="S20" s="200" t="n"/>
      <x:c r="T20" s="200" t="n"/>
      <x:c r="U20" s="200" t="n"/>
      <x:c r="V20" s="200" t="n"/>
      <x:c r="W20" s="200" t="n"/>
      <x:c r="X20" s="200" t="n"/>
      <x:c r="Y20" s="200" t="n"/>
      <x:c r="Z20" s="200" t="n"/>
    </x:row>
    <x:row r="21">
      <x:c r="A21" s="200" t="n"/>
      <x:c r="B21" s="200" t="n"/>
      <x:c r="C21" s="200" t="n"/>
      <x:c r="D21" s="200" t="n"/>
      <x:c r="E21" s="200" t="n"/>
      <x:c r="F21" s="200" t="n"/>
      <x:c r="G21" s="200" t="n"/>
      <x:c r="H21" s="200" t="n"/>
      <x:c r="I21" s="200" t="n"/>
      <x:c r="J21" s="200" t="n"/>
      <x:c r="K21" s="200" t="n"/>
      <x:c r="L21" s="200" t="n"/>
      <x:c r="M21" s="200" t="n"/>
      <x:c r="N21" s="200" t="n"/>
      <x:c r="O21" s="200" t="n"/>
      <x:c r="P21" s="200" t="n"/>
      <x:c r="Q21" s="200" t="n"/>
      <x:c r="R21" s="200" t="n"/>
      <x:c r="S21" s="200" t="n"/>
      <x:c r="T21" s="200" t="n"/>
      <x:c r="U21" s="200" t="n"/>
      <x:c r="V21" s="200" t="n"/>
      <x:c r="W21" s="200" t="n"/>
      <x:c r="X21" s="200" t="n"/>
      <x:c r="Y21" s="200" t="n"/>
      <x:c r="Z21" s="200" t="n"/>
    </x:row>
    <x:row r="22">
      <x:c r="A22" s="200" t="n"/>
      <x:c r="B22" s="200" t="n"/>
      <x:c r="C22" s="200" t="n"/>
      <x:c r="D22" s="200" t="n"/>
      <x:c r="E22" s="200" t="n"/>
      <x:c r="F22" s="200" t="n"/>
      <x:c r="G22" s="200" t="n"/>
      <x:c r="H22" s="200" t="n"/>
      <x:c r="I22" s="200" t="n"/>
      <x:c r="J22" s="200" t="n"/>
      <x:c r="K22" s="200" t="n"/>
      <x:c r="L22" s="200" t="n"/>
      <x:c r="M22" s="200" t="n"/>
      <x:c r="N22" s="200" t="n"/>
      <x:c r="O22" s="200" t="n"/>
      <x:c r="P22" s="200" t="n"/>
      <x:c r="Q22" s="200" t="n"/>
      <x:c r="R22" s="200" t="n"/>
      <x:c r="S22" s="200" t="n"/>
      <x:c r="T22" s="200" t="n"/>
      <x:c r="U22" s="200" t="n"/>
      <x:c r="V22" s="200" t="n"/>
      <x:c r="W22" s="200" t="n"/>
      <x:c r="X22" s="200" t="n"/>
      <x:c r="Y22" s="200" t="n"/>
      <x:c r="Z22" s="200" t="n"/>
    </x:row>
    <x:row r="23">
      <x:c r="A23" s="200" t="n"/>
      <x:c r="B23" s="200" t="n"/>
      <x:c r="C23" s="200" t="n"/>
      <x:c r="D23" s="200" t="n"/>
      <x:c r="E23" s="200" t="n"/>
      <x:c r="F23" s="200" t="n"/>
      <x:c r="G23" s="200" t="n"/>
      <x:c r="H23" s="200" t="n"/>
      <x:c r="I23" s="200" t="n"/>
      <x:c r="J23" s="200" t="n"/>
      <x:c r="K23" s="200" t="n"/>
      <x:c r="L23" s="200" t="n"/>
      <x:c r="M23" s="200" t="n"/>
      <x:c r="N23" s="200" t="n"/>
      <x:c r="O23" s="200" t="n"/>
      <x:c r="P23" s="200" t="n"/>
      <x:c r="Q23" s="200" t="n"/>
      <x:c r="R23" s="200" t="n"/>
      <x:c r="S23" s="200" t="n"/>
      <x:c r="T23" s="200" t="n"/>
      <x:c r="U23" s="200" t="n"/>
      <x:c r="V23" s="200" t="n"/>
      <x:c r="W23" s="200" t="n"/>
      <x:c r="X23" s="200" t="n"/>
      <x:c r="Y23" s="200" t="n"/>
      <x:c r="Z23" s="200" t="n"/>
    </x:row>
    <x:row r="24">
      <x:c r="A24" s="200" t="n"/>
      <x:c r="B24" s="200" t="n"/>
      <x:c r="C24" s="200" t="n"/>
      <x:c r="D24" s="200" t="n"/>
      <x:c r="E24" s="200" t="n"/>
      <x:c r="F24" s="200" t="n"/>
      <x:c r="G24" s="200" t="n"/>
      <x:c r="H24" s="200" t="n"/>
      <x:c r="I24" s="200" t="n"/>
      <x:c r="J24" s="200" t="n"/>
      <x:c r="K24" s="200" t="n"/>
      <x:c r="L24" s="200" t="n"/>
      <x:c r="M24" s="200" t="n"/>
      <x:c r="N24" s="200" t="n"/>
      <x:c r="O24" s="200" t="n"/>
      <x:c r="P24" s="200" t="n"/>
      <x:c r="Q24" s="200" t="n"/>
      <x:c r="R24" s="200" t="n"/>
      <x:c r="S24" s="200" t="n"/>
      <x:c r="T24" s="200" t="n"/>
      <x:c r="U24" s="200" t="n"/>
      <x:c r="V24" s="200" t="n"/>
      <x:c r="W24" s="200" t="n"/>
      <x:c r="X24" s="200" t="n"/>
      <x:c r="Y24" s="200" t="n"/>
      <x:c r="Z24" s="200" t="n"/>
    </x:row>
    <x:row r="25">
      <x:c r="A25" s="200" t="n"/>
      <x:c r="B25" s="200" t="n"/>
      <x:c r="C25" s="200" t="n"/>
      <x:c r="D25" s="200" t="n"/>
      <x:c r="E25" s="200" t="n"/>
      <x:c r="F25" s="200" t="n"/>
      <x:c r="G25" s="200" t="n"/>
      <x:c r="H25" s="200" t="n"/>
      <x:c r="I25" s="200" t="n"/>
      <x:c r="J25" s="200" t="n"/>
      <x:c r="K25" s="200" t="n"/>
      <x:c r="L25" s="200" t="n"/>
      <x:c r="M25" s="200" t="n"/>
      <x:c r="N25" s="200" t="n"/>
      <x:c r="O25" s="200" t="n"/>
      <x:c r="P25" s="200" t="n"/>
      <x:c r="Q25" s="200" t="n"/>
      <x:c r="R25" s="200" t="n"/>
      <x:c r="S25" s="200" t="n"/>
      <x:c r="T25" s="200" t="n"/>
      <x:c r="U25" s="200" t="n"/>
      <x:c r="V25" s="200" t="n"/>
      <x:c r="W25" s="200" t="n"/>
      <x:c r="X25" s="200" t="n"/>
      <x:c r="Y25" s="200" t="n"/>
      <x:c r="Z25" s="200" t="n"/>
    </x:row>
    <x:row r="26">
      <x:c r="A26" s="200" t="n"/>
      <x:c r="B26" s="200" t="n"/>
      <x:c r="C26" s="200" t="n"/>
      <x:c r="D26" s="200" t="n"/>
      <x:c r="E26" s="200" t="n"/>
      <x:c r="F26" s="200" t="n"/>
      <x:c r="G26" s="200" t="n"/>
      <x:c r="H26" s="200" t="n"/>
      <x:c r="I26" s="200" t="n"/>
      <x:c r="J26" s="200" t="n"/>
      <x:c r="K26" s="200" t="n"/>
      <x:c r="L26" s="200" t="n"/>
      <x:c r="M26" s="200" t="n"/>
      <x:c r="N26" s="200" t="n"/>
      <x:c r="O26" s="200" t="n"/>
      <x:c r="P26" s="200" t="n"/>
      <x:c r="Q26" s="200" t="n"/>
      <x:c r="R26" s="200" t="n"/>
      <x:c r="S26" s="200" t="n"/>
      <x:c r="T26" s="200" t="n"/>
      <x:c r="U26" s="200" t="n"/>
      <x:c r="V26" s="200" t="n"/>
      <x:c r="W26" s="200" t="n"/>
      <x:c r="X26" s="200" t="n"/>
      <x:c r="Y26" s="200" t="n"/>
      <x:c r="Z26" s="200" t="n"/>
    </x:row>
    <x:row r="27">
      <x:c r="A27" s="200" t="n"/>
      <x:c r="B27" s="200" t="n"/>
      <x:c r="C27" s="200" t="n"/>
      <x:c r="D27" s="200" t="n"/>
      <x:c r="E27" s="200" t="n"/>
      <x:c r="F27" s="200" t="n"/>
      <x:c r="G27" s="200" t="n"/>
      <x:c r="H27" s="200" t="n"/>
      <x:c r="I27" s="200" t="n"/>
      <x:c r="J27" s="200" t="n"/>
      <x:c r="K27" s="200" t="n"/>
      <x:c r="L27" s="200" t="n"/>
      <x:c r="M27" s="200" t="n"/>
      <x:c r="N27" s="200" t="n"/>
      <x:c r="O27" s="200" t="n"/>
      <x:c r="P27" s="200" t="n"/>
      <x:c r="Q27" s="200" t="n"/>
      <x:c r="R27" s="200" t="n"/>
      <x:c r="S27" s="200" t="n"/>
      <x:c r="T27" s="200" t="n"/>
      <x:c r="U27" s="200" t="n"/>
      <x:c r="V27" s="200" t="n"/>
      <x:c r="W27" s="200" t="n"/>
      <x:c r="X27" s="200" t="n"/>
      <x:c r="Y27" s="200" t="n"/>
      <x:c r="Z27" s="200" t="n"/>
    </x:row>
    <x:row r="28">
      <x:c r="A28" s="200" t="n"/>
      <x:c r="B28" s="200" t="n"/>
      <x:c r="C28" s="200" t="n"/>
      <x:c r="D28" s="200" t="n"/>
      <x:c r="E28" s="200" t="n"/>
      <x:c r="F28" s="200" t="n"/>
      <x:c r="G28" s="200" t="n"/>
      <x:c r="H28" s="200" t="n"/>
      <x:c r="I28" s="200" t="n"/>
      <x:c r="J28" s="200" t="n"/>
      <x:c r="K28" s="200" t="n"/>
      <x:c r="L28" s="200" t="n"/>
      <x:c r="M28" s="200" t="n"/>
      <x:c r="N28" s="200" t="n"/>
      <x:c r="O28" s="200" t="n"/>
      <x:c r="P28" s="200" t="n"/>
      <x:c r="Q28" s="200" t="n"/>
      <x:c r="R28" s="200" t="n"/>
      <x:c r="S28" s="200" t="n"/>
      <x:c r="T28" s="200" t="n"/>
      <x:c r="U28" s="200" t="n"/>
      <x:c r="V28" s="200" t="n"/>
      <x:c r="W28" s="200" t="n"/>
      <x:c r="X28" s="200" t="n"/>
      <x:c r="Y28" s="200" t="n"/>
      <x:c r="Z28" s="200" t="n"/>
    </x:row>
    <x:row r="29">
      <x:c r="A29" s="200" t="n"/>
      <x:c r="B29" s="200" t="n"/>
      <x:c r="C29" s="200" t="n"/>
      <x:c r="D29" s="200" t="n"/>
      <x:c r="E29" s="200" t="n"/>
      <x:c r="F29" s="200" t="n"/>
      <x:c r="G29" s="200" t="n"/>
      <x:c r="H29" s="200" t="n"/>
      <x:c r="I29" s="200" t="n"/>
      <x:c r="J29" s="200" t="n"/>
      <x:c r="K29" s="200" t="n"/>
      <x:c r="L29" s="200" t="n"/>
      <x:c r="M29" s="200" t="n"/>
      <x:c r="N29" s="200" t="n"/>
      <x:c r="O29" s="200" t="n"/>
      <x:c r="P29" s="200" t="n"/>
      <x:c r="Q29" s="200" t="n"/>
      <x:c r="R29" s="200" t="n"/>
      <x:c r="S29" s="200" t="n"/>
      <x:c r="T29" s="200" t="n"/>
      <x:c r="U29" s="200" t="n"/>
      <x:c r="V29" s="200" t="n"/>
      <x:c r="W29" s="200" t="n"/>
      <x:c r="X29" s="200" t="n"/>
      <x:c r="Y29" s="200" t="n"/>
      <x:c r="Z29" s="200" t="n"/>
    </x:row>
    <x:row r="30">
      <x:c r="A30" s="200" t="n"/>
      <x:c r="B30" s="200" t="n"/>
      <x:c r="C30" s="200" t="n"/>
      <x:c r="D30" s="200" t="n"/>
      <x:c r="E30" s="200" t="n"/>
      <x:c r="F30" s="200" t="n"/>
      <x:c r="G30" s="200" t="n"/>
      <x:c r="H30" s="200" t="n"/>
      <x:c r="I30" s="200" t="n"/>
      <x:c r="J30" s="200" t="n"/>
      <x:c r="K30" s="200" t="n"/>
      <x:c r="L30" s="200" t="n"/>
      <x:c r="M30" s="200" t="n"/>
      <x:c r="N30" s="200" t="n"/>
      <x:c r="O30" s="200" t="n"/>
      <x:c r="P30" s="200" t="n"/>
      <x:c r="Q30" s="200" t="n"/>
      <x:c r="R30" s="200" t="n"/>
      <x:c r="S30" s="200" t="n"/>
      <x:c r="T30" s="200" t="n"/>
      <x:c r="U30" s="200" t="n"/>
      <x:c r="V30" s="200" t="n"/>
      <x:c r="W30" s="200" t="n"/>
      <x:c r="X30" s="200" t="n"/>
      <x:c r="Y30" s="200" t="n"/>
      <x:c r="Z30" s="200" t="n"/>
    </x:row>
    <x:row r="31">
      <x:c r="A31" s="200" t="n"/>
      <x:c r="B31" s="200" t="n"/>
      <x:c r="C31" s="200" t="n"/>
      <x:c r="D31" s="200" t="n"/>
      <x:c r="E31" s="200" t="n"/>
      <x:c r="F31" s="200" t="n"/>
      <x:c r="G31" s="200" t="n"/>
      <x:c r="H31" s="200" t="n"/>
      <x:c r="I31" s="200" t="n"/>
      <x:c r="J31" s="200" t="n"/>
      <x:c r="K31" s="200" t="n"/>
      <x:c r="L31" s="200" t="n"/>
      <x:c r="M31" s="200" t="n"/>
      <x:c r="N31" s="200" t="n"/>
      <x:c r="O31" s="200" t="n"/>
      <x:c r="P31" s="200" t="n"/>
      <x:c r="Q31" s="200" t="n"/>
      <x:c r="R31" s="200" t="n"/>
      <x:c r="S31" s="200" t="n"/>
      <x:c r="T31" s="200" t="n"/>
      <x:c r="U31" s="200" t="n"/>
      <x:c r="V31" s="200" t="n"/>
      <x:c r="W31" s="200" t="n"/>
      <x:c r="X31" s="200" t="n"/>
      <x:c r="Y31" s="200" t="n"/>
      <x:c r="Z31" s="200" t="n"/>
    </x:row>
    <x:row r="32">
      <x:c r="A32" s="200" t="n"/>
      <x:c r="B32" s="200" t="n"/>
      <x:c r="C32" s="200" t="n"/>
      <x:c r="D32" s="200" t="n"/>
      <x:c r="E32" s="200" t="n"/>
      <x:c r="F32" s="200" t="n"/>
      <x:c r="G32" s="200" t="n"/>
      <x:c r="H32" s="200" t="n"/>
      <x:c r="I32" s="200" t="n"/>
      <x:c r="J32" s="200" t="n"/>
      <x:c r="K32" s="200" t="n"/>
      <x:c r="L32" s="200" t="n"/>
      <x:c r="M32" s="200" t="n"/>
      <x:c r="N32" s="200" t="n"/>
      <x:c r="O32" s="200" t="n"/>
      <x:c r="P32" s="200" t="n"/>
      <x:c r="Q32" s="200" t="n"/>
      <x:c r="R32" s="200" t="n"/>
      <x:c r="S32" s="200" t="n"/>
      <x:c r="T32" s="200" t="n"/>
      <x:c r="U32" s="200" t="n"/>
      <x:c r="V32" s="200" t="n"/>
      <x:c r="W32" s="200" t="n"/>
      <x:c r="X32" s="200" t="n"/>
      <x:c r="Y32" s="200" t="n"/>
      <x:c r="Z32" s="200" t="n"/>
    </x:row>
    <x:row r="33">
      <x:c r="A33" s="200" t="n"/>
      <x:c r="B33" s="200" t="n"/>
      <x:c r="C33" s="200" t="n"/>
      <x:c r="D33" s="200" t="n"/>
      <x:c r="E33" s="200" t="n"/>
      <x:c r="F33" s="200" t="n"/>
      <x:c r="G33" s="200" t="n"/>
      <x:c r="H33" s="200" t="n"/>
      <x:c r="I33" s="200" t="n"/>
      <x:c r="J33" s="200" t="n"/>
      <x:c r="K33" s="200" t="n"/>
      <x:c r="L33" s="200" t="n"/>
      <x:c r="M33" s="200" t="n"/>
      <x:c r="N33" s="200" t="n"/>
      <x:c r="O33" s="200" t="n"/>
      <x:c r="P33" s="200" t="n"/>
      <x:c r="Q33" s="200" t="n"/>
      <x:c r="R33" s="200" t="n"/>
      <x:c r="S33" s="200" t="n"/>
      <x:c r="T33" s="200" t="n"/>
      <x:c r="U33" s="200" t="n"/>
      <x:c r="V33" s="200" t="n"/>
      <x:c r="W33" s="200" t="n"/>
      <x:c r="X33" s="200" t="n"/>
      <x:c r="Y33" s="200" t="n"/>
      <x:c r="Z33" s="200" t="n"/>
    </x:row>
    <x:row r="34">
      <x:c r="A34" s="200" t="n"/>
      <x:c r="B34" s="200" t="n"/>
      <x:c r="C34" s="200" t="n"/>
      <x:c r="D34" s="200" t="n"/>
      <x:c r="E34" s="200" t="n"/>
      <x:c r="F34" s="200" t="n"/>
      <x:c r="G34" s="200" t="n"/>
      <x:c r="H34" s="200" t="n"/>
      <x:c r="I34" s="200" t="n"/>
      <x:c r="J34" s="200" t="n"/>
      <x:c r="K34" s="200" t="n"/>
      <x:c r="L34" s="200" t="n"/>
      <x:c r="M34" s="200" t="n"/>
      <x:c r="N34" s="200" t="n"/>
      <x:c r="O34" s="200" t="n"/>
      <x:c r="P34" s="200" t="n"/>
      <x:c r="Q34" s="200" t="n"/>
      <x:c r="R34" s="200" t="n"/>
      <x:c r="S34" s="200" t="n"/>
      <x:c r="T34" s="200" t="n"/>
      <x:c r="U34" s="200" t="n"/>
      <x:c r="V34" s="200" t="n"/>
      <x:c r="W34" s="200" t="n"/>
      <x:c r="X34" s="200" t="n"/>
      <x:c r="Y34" s="200" t="n"/>
      <x:c r="Z34" s="200" t="n"/>
    </x:row>
    <x:row r="35">
      <x:c r="A35" s="200" t="n"/>
      <x:c r="B35" s="200" t="n"/>
      <x:c r="C35" s="200" t="n"/>
      <x:c r="D35" s="200" t="n"/>
      <x:c r="E35" s="200" t="n"/>
      <x:c r="F35" s="200" t="n"/>
      <x:c r="G35" s="200" t="n"/>
      <x:c r="H35" s="200" t="n"/>
      <x:c r="I35" s="200" t="n"/>
      <x:c r="J35" s="200" t="n"/>
      <x:c r="K35" s="200" t="n"/>
      <x:c r="L35" s="200" t="n"/>
      <x:c r="M35" s="200" t="n"/>
      <x:c r="N35" s="200" t="n"/>
      <x:c r="O35" s="200" t="n"/>
      <x:c r="P35" s="200" t="n"/>
      <x:c r="Q35" s="200" t="n"/>
      <x:c r="R35" s="200" t="n"/>
      <x:c r="S35" s="200" t="n"/>
      <x:c r="T35" s="200" t="n"/>
      <x:c r="U35" s="200" t="n"/>
      <x:c r="V35" s="200" t="n"/>
      <x:c r="W35" s="200" t="n"/>
      <x:c r="X35" s="200" t="n"/>
      <x:c r="Y35" s="200" t="n"/>
      <x:c r="Z35" s="200" t="n"/>
    </x:row>
    <x:row r="36">
      <x:c r="A36" s="200" t="n"/>
      <x:c r="B36" s="200" t="n"/>
      <x:c r="C36" s="200" t="n"/>
      <x:c r="D36" s="200" t="n"/>
      <x:c r="E36" s="200" t="n"/>
      <x:c r="F36" s="200" t="n"/>
      <x:c r="G36" s="200" t="n"/>
      <x:c r="H36" s="200" t="n"/>
      <x:c r="I36" s="200" t="n"/>
      <x:c r="J36" s="200" t="n"/>
      <x:c r="K36" s="200" t="n"/>
      <x:c r="L36" s="200" t="n"/>
      <x:c r="M36" s="200" t="n"/>
      <x:c r="N36" s="200" t="n"/>
      <x:c r="O36" s="200" t="n"/>
      <x:c r="P36" s="200" t="n"/>
      <x:c r="Q36" s="200" t="n"/>
      <x:c r="R36" s="200" t="n"/>
      <x:c r="S36" s="200" t="n"/>
      <x:c r="T36" s="200" t="n"/>
      <x:c r="U36" s="200" t="n"/>
      <x:c r="V36" s="200" t="n"/>
      <x:c r="W36" s="200" t="n"/>
      <x:c r="X36" s="200" t="n"/>
      <x:c r="Y36" s="200" t="n"/>
      <x:c r="Z36" s="200" t="n"/>
    </x:row>
    <x:row r="37">
      <x:c r="A37" s="200" t="n"/>
      <x:c r="B37" s="200" t="n"/>
      <x:c r="C37" s="200" t="n"/>
      <x:c r="D37" s="200" t="n"/>
      <x:c r="E37" s="200" t="n"/>
      <x:c r="F37" s="200" t="n"/>
      <x:c r="G37" s="200" t="n"/>
      <x:c r="H37" s="200" t="n"/>
      <x:c r="I37" s="200" t="n"/>
      <x:c r="J37" s="200" t="n"/>
      <x:c r="K37" s="200" t="n"/>
      <x:c r="L37" s="200" t="n"/>
      <x:c r="M37" s="200" t="n"/>
      <x:c r="N37" s="200" t="n"/>
      <x:c r="O37" s="200" t="n"/>
      <x:c r="P37" s="200" t="n"/>
      <x:c r="Q37" s="200" t="n"/>
      <x:c r="R37" s="200" t="n"/>
      <x:c r="S37" s="200" t="n"/>
      <x:c r="T37" s="200" t="n"/>
      <x:c r="U37" s="200" t="n"/>
      <x:c r="V37" s="200" t="n"/>
      <x:c r="W37" s="200" t="n"/>
      <x:c r="X37" s="200" t="n"/>
      <x:c r="Y37" s="200" t="n"/>
      <x:c r="Z37" s="200" t="n"/>
    </x:row>
    <x:row r="38">
      <x:c r="A38" s="200" t="n"/>
      <x:c r="B38" s="200" t="n"/>
      <x:c r="C38" s="200" t="n"/>
      <x:c r="D38" s="200" t="n"/>
      <x:c r="E38" s="200" t="n"/>
      <x:c r="F38" s="200" t="n"/>
      <x:c r="G38" s="200" t="n"/>
      <x:c r="H38" s="200" t="n"/>
      <x:c r="I38" s="200" t="n"/>
      <x:c r="J38" s="200" t="n"/>
      <x:c r="K38" s="200" t="n"/>
      <x:c r="L38" s="200" t="n"/>
      <x:c r="M38" s="200" t="n"/>
      <x:c r="N38" s="200" t="n"/>
      <x:c r="O38" s="200" t="n"/>
      <x:c r="P38" s="200" t="n"/>
      <x:c r="Q38" s="200" t="n"/>
      <x:c r="R38" s="200" t="n"/>
      <x:c r="S38" s="200" t="n"/>
      <x:c r="T38" s="200" t="n"/>
      <x:c r="U38" s="200" t="n"/>
      <x:c r="V38" s="200" t="n"/>
      <x:c r="W38" s="200" t="n"/>
      <x:c r="X38" s="200" t="n"/>
      <x:c r="Y38" s="200" t="n"/>
      <x:c r="Z38" s="200" t="n"/>
    </x:row>
    <x:row r="39">
      <x:c r="A39" s="200" t="n"/>
      <x:c r="B39" s="200" t="n"/>
      <x:c r="C39" s="200" t="n"/>
      <x:c r="D39" s="200" t="n"/>
      <x:c r="E39" s="200" t="n"/>
      <x:c r="F39" s="200" t="n"/>
      <x:c r="G39" s="200" t="n"/>
      <x:c r="H39" s="200" t="n"/>
      <x:c r="I39" s="200" t="n"/>
      <x:c r="J39" s="200" t="n"/>
      <x:c r="K39" s="200" t="n"/>
      <x:c r="L39" s="200" t="n"/>
      <x:c r="M39" s="200" t="n"/>
      <x:c r="N39" s="200" t="n"/>
      <x:c r="O39" s="200" t="n"/>
      <x:c r="P39" s="200" t="n"/>
      <x:c r="Q39" s="200" t="n"/>
      <x:c r="R39" s="200" t="n"/>
      <x:c r="S39" s="200" t="n"/>
      <x:c r="T39" s="200" t="n"/>
      <x:c r="U39" s="200" t="n"/>
      <x:c r="V39" s="200" t="n"/>
      <x:c r="W39" s="200" t="n"/>
      <x:c r="X39" s="200" t="n"/>
      <x:c r="Y39" s="200" t="n"/>
      <x:c r="Z39" s="200" t="n"/>
    </x:row>
    <x:row r="40">
      <x:c r="A40" s="200" t="n"/>
      <x:c r="B40" s="200" t="n"/>
      <x:c r="C40" s="200" t="n"/>
      <x:c r="D40" s="200" t="n"/>
      <x:c r="E40" s="200" t="n"/>
      <x:c r="F40" s="200" t="n"/>
      <x:c r="G40" s="200" t="n"/>
      <x:c r="H40" s="200" t="n"/>
      <x:c r="I40" s="200" t="n"/>
      <x:c r="J40" s="200" t="n"/>
      <x:c r="K40" s="200" t="n"/>
      <x:c r="L40" s="200" t="n"/>
      <x:c r="M40" s="200" t="n"/>
      <x:c r="N40" s="200" t="n"/>
      <x:c r="O40" s="200" t="n"/>
      <x:c r="P40" s="200" t="n"/>
      <x:c r="Q40" s="200" t="n"/>
      <x:c r="R40" s="200" t="n"/>
      <x:c r="S40" s="200" t="n"/>
      <x:c r="T40" s="200" t="n"/>
      <x:c r="U40" s="200" t="n"/>
      <x:c r="V40" s="200" t="n"/>
      <x:c r="W40" s="200" t="n"/>
      <x:c r="X40" s="200" t="n"/>
      <x:c r="Y40" s="200" t="n"/>
      <x:c r="Z40" s="200" t="n"/>
    </x:row>
    <x:row r="41">
      <x:c r="A41" s="200" t="n"/>
      <x:c r="B41" s="200" t="n"/>
      <x:c r="C41" s="200" t="n"/>
      <x:c r="D41" s="200" t="n"/>
      <x:c r="E41" s="200" t="n"/>
      <x:c r="F41" s="200" t="n"/>
      <x:c r="G41" s="200" t="n"/>
      <x:c r="H41" s="200" t="n"/>
      <x:c r="I41" s="200" t="n"/>
      <x:c r="J41" s="200" t="n"/>
      <x:c r="K41" s="200" t="n"/>
      <x:c r="L41" s="200" t="n"/>
      <x:c r="M41" s="200" t="n"/>
      <x:c r="N41" s="200" t="n"/>
      <x:c r="O41" s="200" t="n"/>
      <x:c r="P41" s="200" t="n"/>
      <x:c r="Q41" s="200" t="n"/>
      <x:c r="R41" s="200" t="n"/>
      <x:c r="S41" s="200" t="n"/>
      <x:c r="T41" s="200" t="n"/>
      <x:c r="U41" s="200" t="n"/>
      <x:c r="V41" s="200" t="n"/>
      <x:c r="W41" s="200" t="n"/>
      <x:c r="X41" s="200" t="n"/>
      <x:c r="Y41" s="200" t="n"/>
      <x:c r="Z41" s="200" t="n"/>
    </x:row>
    <x:row r="42">
      <x:c r="A42" s="200" t="n"/>
      <x:c r="B42" s="200" t="n"/>
      <x:c r="C42" s="200" t="n"/>
      <x:c r="D42" s="200" t="n"/>
      <x:c r="E42" s="200" t="n"/>
      <x:c r="F42" s="200" t="n"/>
      <x:c r="G42" s="200" t="n"/>
      <x:c r="H42" s="200" t="n"/>
      <x:c r="I42" s="200" t="n"/>
      <x:c r="J42" s="200" t="n"/>
      <x:c r="K42" s="200" t="n"/>
      <x:c r="L42" s="200" t="n"/>
      <x:c r="M42" s="200" t="n"/>
      <x:c r="N42" s="200" t="n"/>
      <x:c r="O42" s="200" t="n"/>
      <x:c r="P42" s="200" t="n"/>
      <x:c r="Q42" s="200" t="n"/>
      <x:c r="R42" s="200" t="n"/>
      <x:c r="S42" s="200" t="n"/>
      <x:c r="T42" s="200" t="n"/>
      <x:c r="U42" s="200" t="n"/>
      <x:c r="V42" s="200" t="n"/>
      <x:c r="W42" s="200" t="n"/>
      <x:c r="X42" s="200" t="n"/>
      <x:c r="Y42" s="200" t="n"/>
      <x:c r="Z42" s="200" t="n"/>
    </x:row>
    <x:row r="43">
      <x:c r="A43" s="200" t="n"/>
      <x:c r="B43" s="200" t="n"/>
      <x:c r="C43" s="200" t="n"/>
      <x:c r="D43" s="200" t="n"/>
      <x:c r="E43" s="200" t="n"/>
      <x:c r="F43" s="200" t="n"/>
      <x:c r="G43" s="200" t="n"/>
      <x:c r="H43" s="200" t="n"/>
      <x:c r="I43" s="200" t="n"/>
      <x:c r="J43" s="200" t="n"/>
      <x:c r="K43" s="200" t="n"/>
      <x:c r="L43" s="200" t="n"/>
      <x:c r="M43" s="200" t="n"/>
      <x:c r="N43" s="200" t="n"/>
      <x:c r="O43" s="200" t="n"/>
      <x:c r="P43" s="200" t="n"/>
      <x:c r="Q43" s="200" t="n"/>
      <x:c r="R43" s="200" t="n"/>
      <x:c r="S43" s="200" t="n"/>
      <x:c r="T43" s="200" t="n"/>
      <x:c r="U43" s="200" t="n"/>
      <x:c r="V43" s="200" t="n"/>
      <x:c r="W43" s="200" t="n"/>
      <x:c r="X43" s="200" t="n"/>
      <x:c r="Y43" s="200" t="n"/>
      <x:c r="Z43" s="200" t="n"/>
    </x:row>
    <x:row r="44">
      <x:c r="A44" s="200" t="n"/>
      <x:c r="B44" s="200" t="n"/>
      <x:c r="C44" s="200" t="n"/>
      <x:c r="D44" s="200" t="n"/>
      <x:c r="E44" s="200" t="n"/>
      <x:c r="F44" s="200" t="n"/>
      <x:c r="G44" s="200" t="n"/>
      <x:c r="H44" s="200" t="n"/>
      <x:c r="I44" s="200" t="n"/>
      <x:c r="J44" s="200" t="n"/>
      <x:c r="K44" s="200" t="n"/>
      <x:c r="L44" s="200" t="n"/>
      <x:c r="M44" s="200" t="n"/>
      <x:c r="N44" s="200" t="n"/>
      <x:c r="O44" s="200" t="n"/>
      <x:c r="P44" s="200" t="n"/>
      <x:c r="Q44" s="200" t="n"/>
      <x:c r="R44" s="200" t="n"/>
      <x:c r="S44" s="200" t="n"/>
      <x:c r="T44" s="200" t="n"/>
      <x:c r="U44" s="200" t="n"/>
      <x:c r="V44" s="200" t="n"/>
      <x:c r="W44" s="200" t="n"/>
      <x:c r="X44" s="200" t="n"/>
      <x:c r="Y44" s="200" t="n"/>
      <x:c r="Z44" s="200" t="n"/>
    </x:row>
    <x:row r="45">
      <x:c r="A45" s="200" t="n"/>
      <x:c r="B45" s="200" t="n"/>
      <x:c r="C45" s="200" t="n"/>
      <x:c r="D45" s="200" t="n"/>
      <x:c r="E45" s="200" t="n"/>
      <x:c r="F45" s="200" t="n"/>
      <x:c r="G45" s="200" t="n"/>
      <x:c r="H45" s="200" t="n"/>
      <x:c r="I45" s="200" t="n"/>
      <x:c r="J45" s="200" t="n"/>
      <x:c r="K45" s="200" t="n"/>
      <x:c r="L45" s="200" t="n"/>
      <x:c r="M45" s="200" t="n"/>
      <x:c r="N45" s="200" t="n"/>
      <x:c r="O45" s="200" t="n"/>
      <x:c r="P45" s="200" t="n"/>
      <x:c r="Q45" s="200" t="n"/>
      <x:c r="R45" s="200" t="n"/>
      <x:c r="S45" s="200" t="n"/>
      <x:c r="T45" s="200" t="n"/>
      <x:c r="U45" s="200" t="n"/>
      <x:c r="V45" s="200" t="n"/>
      <x:c r="W45" s="200" t="n"/>
      <x:c r="X45" s="200" t="n"/>
      <x:c r="Y45" s="200" t="n"/>
      <x:c r="Z45" s="200" t="n"/>
    </x:row>
    <x:row r="46">
      <x:c r="A46" s="200" t="n"/>
      <x:c r="B46" s="200" t="n"/>
      <x:c r="C46" s="200" t="n"/>
      <x:c r="D46" s="200" t="n"/>
      <x:c r="E46" s="200" t="n"/>
      <x:c r="F46" s="200" t="n"/>
      <x:c r="G46" s="200" t="n"/>
      <x:c r="H46" s="200" t="n"/>
      <x:c r="I46" s="200" t="n"/>
      <x:c r="J46" s="200" t="n"/>
      <x:c r="K46" s="200" t="n"/>
      <x:c r="L46" s="200" t="n"/>
      <x:c r="M46" s="200" t="n"/>
      <x:c r="N46" s="200" t="n"/>
      <x:c r="O46" s="200" t="n"/>
      <x:c r="P46" s="200" t="n"/>
      <x:c r="Q46" s="200" t="n"/>
      <x:c r="R46" s="200" t="n"/>
      <x:c r="S46" s="200" t="n"/>
      <x:c r="T46" s="200" t="n"/>
      <x:c r="U46" s="200" t="n"/>
      <x:c r="V46" s="200" t="n"/>
      <x:c r="W46" s="200" t="n"/>
      <x:c r="X46" s="200" t="n"/>
      <x:c r="Y46" s="200" t="n"/>
      <x:c r="Z46" s="200" t="n"/>
    </x:row>
    <x:row r="47">
      <x:c r="A47" s="200" t="n"/>
      <x:c r="B47" s="200" t="n"/>
      <x:c r="C47" s="200" t="n"/>
      <x:c r="D47" s="200" t="n"/>
      <x:c r="E47" s="200" t="n"/>
      <x:c r="F47" s="200" t="n"/>
      <x:c r="G47" s="200" t="n"/>
      <x:c r="H47" s="200" t="n"/>
      <x:c r="I47" s="200" t="n"/>
      <x:c r="J47" s="200" t="n"/>
      <x:c r="K47" s="200" t="n"/>
      <x:c r="L47" s="200" t="n"/>
      <x:c r="M47" s="200" t="n"/>
      <x:c r="N47" s="200" t="n"/>
      <x:c r="O47" s="200" t="n"/>
      <x:c r="P47" s="200" t="n"/>
      <x:c r="Q47" s="200" t="n"/>
      <x:c r="R47" s="200" t="n"/>
      <x:c r="S47" s="200" t="n"/>
      <x:c r="T47" s="200" t="n"/>
      <x:c r="U47" s="200" t="n"/>
      <x:c r="V47" s="200" t="n"/>
      <x:c r="W47" s="200" t="n"/>
      <x:c r="X47" s="200" t="n"/>
      <x:c r="Y47" s="200" t="n"/>
      <x:c r="Z47" s="200" t="n"/>
    </x:row>
    <x:row r="48">
      <x:c r="A48" s="200" t="n"/>
      <x:c r="B48" s="200" t="n"/>
      <x:c r="C48" s="200" t="n"/>
      <x:c r="D48" s="200" t="n"/>
      <x:c r="E48" s="200" t="n"/>
      <x:c r="F48" s="200" t="n"/>
      <x:c r="G48" s="200" t="n"/>
      <x:c r="H48" s="200" t="n"/>
      <x:c r="I48" s="200" t="n"/>
      <x:c r="J48" s="200" t="n"/>
      <x:c r="K48" s="200" t="n"/>
      <x:c r="L48" s="200" t="n"/>
      <x:c r="M48" s="200" t="n"/>
      <x:c r="N48" s="200" t="n"/>
      <x:c r="O48" s="200" t="n"/>
      <x:c r="P48" s="200" t="n"/>
      <x:c r="Q48" s="200" t="n"/>
      <x:c r="R48" s="200" t="n"/>
      <x:c r="S48" s="200" t="n"/>
      <x:c r="T48" s="200" t="n"/>
      <x:c r="U48" s="200" t="n"/>
      <x:c r="V48" s="200" t="n"/>
      <x:c r="W48" s="200" t="n"/>
      <x:c r="X48" s="200" t="n"/>
      <x:c r="Y48" s="200" t="n"/>
      <x:c r="Z48" s="200" t="n"/>
    </x:row>
    <x:row r="49">
      <x:c r="A49" s="200" t="n"/>
      <x:c r="B49" s="200" t="n"/>
      <x:c r="C49" s="200" t="n"/>
      <x:c r="D49" s="200" t="n"/>
      <x:c r="E49" s="200" t="n"/>
      <x:c r="F49" s="200" t="n"/>
      <x:c r="G49" s="200" t="n"/>
      <x:c r="H49" s="200" t="n"/>
      <x:c r="I49" s="200" t="n"/>
      <x:c r="J49" s="200" t="n"/>
      <x:c r="K49" s="200" t="n"/>
      <x:c r="L49" s="200" t="n"/>
      <x:c r="M49" s="200" t="n"/>
      <x:c r="N49" s="200" t="n"/>
      <x:c r="O49" s="200" t="n"/>
      <x:c r="P49" s="200" t="n"/>
      <x:c r="Q49" s="200" t="n"/>
      <x:c r="R49" s="200" t="n"/>
      <x:c r="S49" s="200" t="n"/>
      <x:c r="T49" s="200" t="n"/>
      <x:c r="U49" s="200" t="n"/>
      <x:c r="V49" s="200" t="n"/>
      <x:c r="W49" s="200" t="n"/>
      <x:c r="X49" s="200" t="n"/>
      <x:c r="Y49" s="200" t="n"/>
      <x:c r="Z49" s="200" t="n"/>
    </x:row>
    <x:row r="50">
      <x:c r="A50" s="200" t="n"/>
      <x:c r="B50" s="200" t="n"/>
      <x:c r="C50" s="200" t="n"/>
      <x:c r="D50" s="200" t="n"/>
      <x:c r="E50" s="200" t="n"/>
      <x:c r="F50" s="200" t="n"/>
      <x:c r="G50" s="200" t="n"/>
      <x:c r="H50" s="200" t="n"/>
      <x:c r="I50" s="200" t="n"/>
      <x:c r="J50" s="200" t="n"/>
      <x:c r="K50" s="200" t="n"/>
      <x:c r="L50" s="200" t="n"/>
      <x:c r="M50" s="200" t="n"/>
      <x:c r="N50" s="200" t="n"/>
      <x:c r="O50" s="200" t="n"/>
      <x:c r="P50" s="200" t="n"/>
      <x:c r="Q50" s="200" t="n"/>
      <x:c r="R50" s="200" t="n"/>
      <x:c r="S50" s="200" t="n"/>
      <x:c r="T50" s="200" t="n"/>
      <x:c r="U50" s="200" t="n"/>
      <x:c r="V50" s="200" t="n"/>
      <x:c r="W50" s="200" t="n"/>
      <x:c r="X50" s="200" t="n"/>
      <x:c r="Y50" s="200" t="n"/>
      <x:c r="Z50" s="200" t="n"/>
    </x:row>
    <x:row r="51">
      <x:c r="A51" s="200" t="n"/>
      <x:c r="B51" s="200" t="n"/>
      <x:c r="C51" s="200" t="n"/>
      <x:c r="D51" s="200" t="n"/>
      <x:c r="E51" s="200" t="n"/>
      <x:c r="F51" s="200" t="n"/>
      <x:c r="G51" s="200" t="n"/>
      <x:c r="H51" s="200" t="n"/>
      <x:c r="I51" s="200" t="n"/>
      <x:c r="J51" s="200" t="n"/>
      <x:c r="K51" s="200" t="n"/>
      <x:c r="L51" s="200" t="n"/>
      <x:c r="M51" s="200" t="n"/>
      <x:c r="N51" s="200" t="n"/>
      <x:c r="O51" s="200" t="n"/>
      <x:c r="P51" s="200" t="n"/>
      <x:c r="Q51" s="200" t="n"/>
      <x:c r="R51" s="200" t="n"/>
      <x:c r="S51" s="200" t="n"/>
      <x:c r="T51" s="200" t="n"/>
      <x:c r="U51" s="200" t="n"/>
      <x:c r="V51" s="200" t="n"/>
      <x:c r="W51" s="200" t="n"/>
      <x:c r="X51" s="200" t="n"/>
      <x:c r="Y51" s="200" t="n"/>
      <x:c r="Z51" s="200" t="n"/>
    </x:row>
    <x:row r="52">
      <x:c r="A52" s="200" t="n"/>
      <x:c r="B52" s="200" t="n"/>
      <x:c r="C52" s="200" t="n"/>
      <x:c r="D52" s="200" t="n"/>
      <x:c r="E52" s="200" t="n"/>
      <x:c r="F52" s="200" t="n"/>
      <x:c r="G52" s="200" t="n"/>
      <x:c r="H52" s="200" t="n"/>
      <x:c r="I52" s="200" t="n"/>
      <x:c r="J52" s="200" t="n"/>
      <x:c r="K52" s="200" t="n"/>
      <x:c r="L52" s="200" t="n"/>
      <x:c r="M52" s="200" t="n"/>
      <x:c r="N52" s="200" t="n"/>
      <x:c r="O52" s="200" t="n"/>
      <x:c r="P52" s="200" t="n"/>
      <x:c r="Q52" s="200" t="n"/>
      <x:c r="R52" s="200" t="n"/>
      <x:c r="S52" s="200" t="n"/>
      <x:c r="T52" s="200" t="n"/>
      <x:c r="U52" s="200" t="n"/>
      <x:c r="V52" s="200" t="n"/>
      <x:c r="W52" s="200" t="n"/>
      <x:c r="X52" s="200" t="n"/>
      <x:c r="Y52" s="200" t="n"/>
      <x:c r="Z52" s="200" t="n"/>
    </x:row>
    <x:row r="53">
      <x:c r="A53" s="200" t="n"/>
      <x:c r="B53" s="200" t="n"/>
      <x:c r="C53" s="200" t="n"/>
      <x:c r="D53" s="200" t="n"/>
      <x:c r="E53" s="200" t="n"/>
      <x:c r="F53" s="200" t="n"/>
      <x:c r="G53" s="200" t="n"/>
      <x:c r="H53" s="200" t="n"/>
      <x:c r="I53" s="200" t="n"/>
      <x:c r="J53" s="200" t="n"/>
      <x:c r="K53" s="200" t="n"/>
      <x:c r="L53" s="200" t="n"/>
      <x:c r="M53" s="200" t="n"/>
      <x:c r="N53" s="200" t="n"/>
      <x:c r="O53" s="200" t="n"/>
      <x:c r="P53" s="200" t="n"/>
      <x:c r="Q53" s="200" t="n"/>
      <x:c r="R53" s="200" t="n"/>
      <x:c r="S53" s="200" t="n"/>
      <x:c r="T53" s="200" t="n"/>
      <x:c r="U53" s="200" t="n"/>
      <x:c r="V53" s="200" t="n"/>
      <x:c r="W53" s="200" t="n"/>
      <x:c r="X53" s="200" t="n"/>
      <x:c r="Y53" s="200" t="n"/>
      <x:c r="Z53" s="200" t="n"/>
    </x:row>
    <x:row r="54">
      <x:c r="A54" s="200" t="n"/>
      <x:c r="B54" s="200" t="n"/>
      <x:c r="C54" s="200" t="n"/>
      <x:c r="D54" s="200" t="n"/>
      <x:c r="E54" s="200" t="n"/>
      <x:c r="F54" s="200" t="n"/>
      <x:c r="G54" s="200" t="n"/>
      <x:c r="H54" s="200" t="n"/>
      <x:c r="I54" s="200" t="n"/>
      <x:c r="J54" s="200" t="n"/>
      <x:c r="K54" s="200" t="n"/>
      <x:c r="L54" s="200" t="n"/>
      <x:c r="M54" s="200" t="n"/>
      <x:c r="N54" s="200" t="n"/>
      <x:c r="O54" s="200" t="n"/>
      <x:c r="P54" s="200" t="n"/>
      <x:c r="Q54" s="200" t="n"/>
      <x:c r="R54" s="200" t="n"/>
      <x:c r="S54" s="200" t="n"/>
      <x:c r="T54" s="200" t="n"/>
      <x:c r="U54" s="200" t="n"/>
      <x:c r="V54" s="200" t="n"/>
      <x:c r="W54" s="200" t="n"/>
      <x:c r="X54" s="200" t="n"/>
      <x:c r="Y54" s="200" t="n"/>
      <x:c r="Z54" s="200" t="n"/>
    </x:row>
    <x:row r="55">
      <x:c r="A55" s="200" t="n"/>
      <x:c r="B55" s="200" t="n"/>
      <x:c r="C55" s="200" t="n"/>
      <x:c r="D55" s="200" t="n"/>
      <x:c r="E55" s="200" t="n"/>
      <x:c r="F55" s="200" t="n"/>
      <x:c r="G55" s="200" t="n"/>
      <x:c r="H55" s="200" t="n"/>
      <x:c r="I55" s="200" t="n"/>
      <x:c r="J55" s="200" t="n"/>
      <x:c r="K55" s="200" t="n"/>
      <x:c r="L55" s="200" t="n"/>
      <x:c r="M55" s="200" t="n"/>
      <x:c r="N55" s="200" t="n"/>
      <x:c r="O55" s="200" t="n"/>
      <x:c r="P55" s="200" t="n"/>
      <x:c r="Q55" s="200" t="n"/>
      <x:c r="R55" s="200" t="n"/>
      <x:c r="S55" s="200" t="n"/>
      <x:c r="T55" s="200" t="n"/>
      <x:c r="U55" s="200" t="n"/>
      <x:c r="V55" s="200" t="n"/>
      <x:c r="W55" s="200" t="n"/>
      <x:c r="X55" s="200" t="n"/>
      <x:c r="Y55" s="200" t="n"/>
      <x:c r="Z55" s="200" t="n"/>
    </x:row>
    <x:row r="56">
      <x:c r="A56" s="200" t="n"/>
      <x:c r="B56" s="200" t="n"/>
      <x:c r="C56" s="200" t="n"/>
      <x:c r="D56" s="200" t="n"/>
      <x:c r="E56" s="200" t="n"/>
      <x:c r="F56" s="200" t="n"/>
      <x:c r="G56" s="200" t="n"/>
      <x:c r="H56" s="200" t="n"/>
      <x:c r="I56" s="200" t="n"/>
      <x:c r="J56" s="200" t="n"/>
      <x:c r="K56" s="200" t="n"/>
      <x:c r="L56" s="200" t="n"/>
      <x:c r="M56" s="200" t="n"/>
      <x:c r="N56" s="200" t="n"/>
      <x:c r="O56" s="200" t="n"/>
      <x:c r="P56" s="200" t="n"/>
      <x:c r="Q56" s="200" t="n"/>
      <x:c r="R56" s="200" t="n"/>
      <x:c r="S56" s="200" t="n"/>
      <x:c r="T56" s="200" t="n"/>
      <x:c r="U56" s="200" t="n"/>
      <x:c r="V56" s="200" t="n"/>
      <x:c r="W56" s="200" t="n"/>
      <x:c r="X56" s="200" t="n"/>
      <x:c r="Y56" s="200" t="n"/>
      <x:c r="Z56" s="200" t="n"/>
    </x:row>
    <x:row r="57">
      <x:c r="A57" s="200" t="n"/>
      <x:c r="B57" s="200" t="n"/>
      <x:c r="C57" s="200" t="n"/>
      <x:c r="D57" s="200" t="n"/>
      <x:c r="E57" s="200" t="n"/>
      <x:c r="F57" s="200" t="n"/>
      <x:c r="G57" s="200" t="n"/>
      <x:c r="H57" s="200" t="n"/>
      <x:c r="I57" s="200" t="n"/>
      <x:c r="J57" s="200" t="n"/>
      <x:c r="K57" s="200" t="n"/>
      <x:c r="L57" s="200" t="n"/>
      <x:c r="M57" s="200" t="n"/>
      <x:c r="N57" s="200" t="n"/>
      <x:c r="O57" s="200" t="n"/>
      <x:c r="P57" s="200" t="n"/>
      <x:c r="Q57" s="200" t="n"/>
      <x:c r="R57" s="200" t="n"/>
      <x:c r="S57" s="200" t="n"/>
      <x:c r="T57" s="200" t="n"/>
      <x:c r="U57" s="200" t="n"/>
      <x:c r="V57" s="200" t="n"/>
      <x:c r="W57" s="200" t="n"/>
      <x:c r="X57" s="200" t="n"/>
      <x:c r="Y57" s="200" t="n"/>
      <x:c r="Z57" s="200" t="n"/>
    </x:row>
    <x:row r="58">
      <x:c r="A58" s="200" t="n"/>
      <x:c r="B58" s="200" t="n"/>
      <x:c r="C58" s="200" t="n"/>
      <x:c r="D58" s="200" t="n"/>
      <x:c r="E58" s="200" t="n"/>
      <x:c r="F58" s="200" t="n"/>
      <x:c r="G58" s="200" t="n"/>
      <x:c r="H58" s="200" t="n"/>
      <x:c r="I58" s="200" t="n"/>
      <x:c r="J58" s="200" t="n"/>
      <x:c r="K58" s="200" t="n"/>
      <x:c r="L58" s="200" t="n"/>
      <x:c r="M58" s="200" t="n"/>
      <x:c r="N58" s="200" t="n"/>
      <x:c r="O58" s="200" t="n"/>
      <x:c r="P58" s="200" t="n"/>
      <x:c r="Q58" s="200" t="n"/>
      <x:c r="R58" s="200" t="n"/>
      <x:c r="S58" s="200" t="n"/>
      <x:c r="T58" s="200" t="n"/>
      <x:c r="U58" s="200" t="n"/>
      <x:c r="V58" s="200" t="n"/>
      <x:c r="W58" s="200" t="n"/>
      <x:c r="X58" s="200" t="n"/>
      <x:c r="Y58" s="200" t="n"/>
      <x:c r="Z58" s="200" t="n"/>
    </x:row>
    <x:row r="59">
      <x:c r="A59" s="200" t="n"/>
      <x:c r="B59" s="200" t="n"/>
      <x:c r="C59" s="200" t="n"/>
      <x:c r="D59" s="200" t="n"/>
      <x:c r="E59" s="200" t="n"/>
      <x:c r="F59" s="200" t="n"/>
      <x:c r="G59" s="200" t="n"/>
      <x:c r="H59" s="200" t="n"/>
      <x:c r="I59" s="200" t="n"/>
      <x:c r="J59" s="200" t="n"/>
      <x:c r="K59" s="200" t="n"/>
      <x:c r="L59" s="200" t="n"/>
      <x:c r="M59" s="200" t="n"/>
      <x:c r="N59" s="200" t="n"/>
      <x:c r="O59" s="200" t="n"/>
      <x:c r="P59" s="200" t="n"/>
      <x:c r="Q59" s="200" t="n"/>
      <x:c r="R59" s="200" t="n"/>
      <x:c r="S59" s="200" t="n"/>
      <x:c r="T59" s="200" t="n"/>
      <x:c r="U59" s="200" t="n"/>
      <x:c r="V59" s="200" t="n"/>
      <x:c r="W59" s="200" t="n"/>
      <x:c r="X59" s="200" t="n"/>
      <x:c r="Y59" s="200" t="n"/>
      <x:c r="Z59" s="200" t="n"/>
    </x:row>
    <x:row r="60">
      <x:c r="A60" s="200" t="n"/>
      <x:c r="B60" s="200" t="n"/>
      <x:c r="C60" s="200" t="n"/>
      <x:c r="D60" s="200" t="n"/>
      <x:c r="E60" s="200" t="n"/>
      <x:c r="F60" s="200" t="n"/>
      <x:c r="G60" s="200" t="n"/>
      <x:c r="H60" s="200" t="n"/>
      <x:c r="I60" s="200" t="n"/>
      <x:c r="J60" s="200" t="n"/>
      <x:c r="K60" s="200" t="n"/>
      <x:c r="L60" s="200" t="n"/>
      <x:c r="M60" s="200" t="n"/>
      <x:c r="N60" s="200" t="n"/>
      <x:c r="O60" s="200" t="n"/>
      <x:c r="P60" s="200" t="n"/>
      <x:c r="Q60" s="200" t="n"/>
      <x:c r="R60" s="200" t="n"/>
      <x:c r="S60" s="200" t="n"/>
      <x:c r="T60" s="200" t="n"/>
      <x:c r="U60" s="200" t="n"/>
      <x:c r="V60" s="200" t="n"/>
      <x:c r="W60" s="200" t="n"/>
      <x:c r="X60" s="200" t="n"/>
      <x:c r="Y60" s="200" t="n"/>
      <x:c r="Z60" s="200" t="n"/>
    </x:row>
    <x:row r="61">
      <x:c r="A61" s="200" t="n"/>
      <x:c r="B61" s="200" t="n"/>
      <x:c r="C61" s="200" t="n"/>
      <x:c r="D61" s="200" t="n"/>
      <x:c r="E61" s="200" t="n"/>
      <x:c r="F61" s="200" t="n"/>
      <x:c r="G61" s="200" t="n"/>
      <x:c r="H61" s="200" t="n"/>
      <x:c r="I61" s="200" t="n"/>
      <x:c r="J61" s="200" t="n"/>
      <x:c r="K61" s="200" t="n"/>
      <x:c r="L61" s="200" t="n"/>
      <x:c r="M61" s="200" t="n"/>
      <x:c r="N61" s="200" t="n"/>
      <x:c r="O61" s="200" t="n"/>
      <x:c r="P61" s="200" t="n"/>
      <x:c r="Q61" s="200" t="n"/>
      <x:c r="R61" s="200" t="n"/>
      <x:c r="S61" s="200" t="n"/>
      <x:c r="T61" s="200" t="n"/>
      <x:c r="U61" s="200" t="n"/>
      <x:c r="V61" s="200" t="n"/>
      <x:c r="W61" s="200" t="n"/>
      <x:c r="X61" s="200" t="n"/>
      <x:c r="Y61" s="200" t="n"/>
      <x:c r="Z61" s="200" t="n"/>
    </x:row>
    <x:row r="62">
      <x:c r="A62" s="200" t="n"/>
      <x:c r="B62" s="200" t="n"/>
      <x:c r="C62" s="200" t="n"/>
      <x:c r="D62" s="200" t="n"/>
      <x:c r="E62" s="200" t="n"/>
      <x:c r="F62" s="200" t="n"/>
      <x:c r="G62" s="200" t="n"/>
      <x:c r="H62" s="200" t="n"/>
      <x:c r="I62" s="200" t="n"/>
      <x:c r="J62" s="200" t="n"/>
      <x:c r="K62" s="200" t="n"/>
      <x:c r="L62" s="200" t="n"/>
      <x:c r="M62" s="200" t="n"/>
      <x:c r="N62" s="200" t="n"/>
      <x:c r="O62" s="200" t="n"/>
      <x:c r="P62" s="200" t="n"/>
      <x:c r="Q62" s="200" t="n"/>
      <x:c r="R62" s="200" t="n"/>
      <x:c r="S62" s="200" t="n"/>
      <x:c r="T62" s="200" t="n"/>
      <x:c r="U62" s="200" t="n"/>
      <x:c r="V62" s="200" t="n"/>
      <x:c r="W62" s="200" t="n"/>
      <x:c r="X62" s="200" t="n"/>
      <x:c r="Y62" s="200" t="n"/>
      <x:c r="Z62" s="200" t="n"/>
    </x:row>
    <x:row r="63">
      <x:c r="A63" s="200" t="n"/>
      <x:c r="B63" s="200" t="n"/>
      <x:c r="C63" s="200" t="n"/>
      <x:c r="D63" s="200" t="n"/>
      <x:c r="E63" s="200" t="n"/>
      <x:c r="F63" s="200" t="n"/>
      <x:c r="G63" s="200" t="n"/>
      <x:c r="H63" s="200" t="n"/>
      <x:c r="I63" s="200" t="n"/>
      <x:c r="J63" s="200" t="n"/>
      <x:c r="K63" s="200" t="n"/>
      <x:c r="L63" s="200" t="n"/>
      <x:c r="M63" s="200" t="n"/>
      <x:c r="N63" s="200" t="n"/>
      <x:c r="O63" s="200" t="n"/>
      <x:c r="P63" s="200" t="n"/>
      <x:c r="Q63" s="200" t="n"/>
      <x:c r="R63" s="200" t="n"/>
      <x:c r="S63" s="200" t="n"/>
      <x:c r="T63" s="200" t="n"/>
      <x:c r="U63" s="200" t="n"/>
      <x:c r="V63" s="200" t="n"/>
      <x:c r="W63" s="200" t="n"/>
      <x:c r="X63" s="200" t="n"/>
      <x:c r="Y63" s="200" t="n"/>
      <x:c r="Z63" s="200" t="n"/>
    </x:row>
    <x:row r="64">
      <x:c r="A64" s="200" t="n"/>
      <x:c r="B64" s="200" t="n"/>
      <x:c r="C64" s="200" t="n"/>
      <x:c r="D64" s="200" t="n"/>
      <x:c r="E64" s="200" t="n"/>
      <x:c r="F64" s="200" t="n"/>
      <x:c r="G64" s="200" t="n"/>
      <x:c r="H64" s="200" t="n"/>
      <x:c r="I64" s="200" t="n"/>
      <x:c r="J64" s="200" t="n"/>
      <x:c r="K64" s="200" t="n"/>
      <x:c r="L64" s="200" t="n"/>
      <x:c r="M64" s="200" t="n"/>
      <x:c r="N64" s="200" t="n"/>
      <x:c r="O64" s="200" t="n"/>
      <x:c r="P64" s="200" t="n"/>
      <x:c r="Q64" s="200" t="n"/>
      <x:c r="R64" s="200" t="n"/>
      <x:c r="S64" s="200" t="n"/>
      <x:c r="T64" s="200" t="n"/>
      <x:c r="U64" s="200" t="n"/>
      <x:c r="V64" s="200" t="n"/>
      <x:c r="W64" s="200" t="n"/>
      <x:c r="X64" s="200" t="n"/>
      <x:c r="Y64" s="200" t="n"/>
      <x:c r="Z64" s="200" t="n"/>
    </x:row>
    <x:row r="65">
      <x:c r="A65" s="200" t="n"/>
      <x:c r="B65" s="200" t="n"/>
      <x:c r="C65" s="200" t="n"/>
      <x:c r="D65" s="200" t="n"/>
      <x:c r="E65" s="200" t="n"/>
      <x:c r="F65" s="200" t="n"/>
      <x:c r="G65" s="200" t="n"/>
      <x:c r="H65" s="200" t="n"/>
      <x:c r="I65" s="200" t="n"/>
      <x:c r="J65" s="200" t="n"/>
      <x:c r="K65" s="200" t="n"/>
      <x:c r="L65" s="200" t="n"/>
      <x:c r="M65" s="200" t="n"/>
      <x:c r="N65" s="200" t="n"/>
      <x:c r="O65" s="200" t="n"/>
      <x:c r="P65" s="200" t="n"/>
      <x:c r="Q65" s="200" t="n"/>
      <x:c r="R65" s="200" t="n"/>
      <x:c r="S65" s="200" t="n"/>
      <x:c r="T65" s="200" t="n"/>
      <x:c r="U65" s="200" t="n"/>
      <x:c r="V65" s="200" t="n"/>
      <x:c r="W65" s="200" t="n"/>
      <x:c r="X65" s="200" t="n"/>
      <x:c r="Y65" s="200" t="n"/>
      <x:c r="Z65" s="200" t="n"/>
    </x:row>
    <x:row r="66">
      <x:c r="A66" s="200" t="n"/>
      <x:c r="B66" s="200" t="n"/>
      <x:c r="C66" s="200" t="n"/>
      <x:c r="D66" s="200" t="n"/>
      <x:c r="E66" s="200" t="n"/>
      <x:c r="F66" s="200" t="n"/>
      <x:c r="G66" s="200" t="n"/>
      <x:c r="H66" s="200" t="n"/>
      <x:c r="I66" s="200" t="n"/>
      <x:c r="J66" s="200" t="n"/>
      <x:c r="K66" s="200" t="n"/>
      <x:c r="L66" s="200" t="n"/>
      <x:c r="M66" s="200" t="n"/>
      <x:c r="N66" s="200" t="n"/>
      <x:c r="O66" s="200" t="n"/>
      <x:c r="P66" s="200" t="n"/>
      <x:c r="Q66" s="200" t="n"/>
      <x:c r="R66" s="200" t="n"/>
      <x:c r="S66" s="200" t="n"/>
      <x:c r="T66" s="200" t="n"/>
      <x:c r="U66" s="200" t="n"/>
      <x:c r="V66" s="200" t="n"/>
      <x:c r="W66" s="200" t="n"/>
      <x:c r="X66" s="200" t="n"/>
      <x:c r="Y66" s="200" t="n"/>
      <x:c r="Z66" s="200" t="n"/>
    </x:row>
    <x:row r="67">
      <x:c r="A67" s="200" t="n"/>
      <x:c r="B67" s="200" t="n"/>
      <x:c r="C67" s="200" t="n"/>
      <x:c r="D67" s="200" t="n"/>
      <x:c r="E67" s="200" t="n"/>
      <x:c r="F67" s="200" t="n"/>
      <x:c r="G67" s="200" t="n"/>
      <x:c r="H67" s="200" t="n"/>
      <x:c r="I67" s="200" t="n"/>
      <x:c r="J67" s="200" t="n"/>
      <x:c r="K67" s="200" t="n"/>
      <x:c r="L67" s="200" t="n"/>
      <x:c r="M67" s="200" t="n"/>
      <x:c r="N67" s="200" t="n"/>
      <x:c r="O67" s="200" t="n"/>
      <x:c r="P67" s="200" t="n"/>
      <x:c r="Q67" s="200" t="n"/>
      <x:c r="R67" s="200" t="n"/>
      <x:c r="S67" s="200" t="n"/>
      <x:c r="T67" s="200" t="n"/>
      <x:c r="U67" s="200" t="n"/>
      <x:c r="V67" s="200" t="n"/>
      <x:c r="W67" s="200" t="n"/>
      <x:c r="X67" s="200" t="n"/>
      <x:c r="Y67" s="200" t="n"/>
      <x:c r="Z67" s="200" t="n"/>
    </x:row>
    <x:row r="68">
      <x:c r="A68" s="200" t="n"/>
      <x:c r="B68" s="200" t="n"/>
      <x:c r="C68" s="200" t="n"/>
      <x:c r="D68" s="200" t="n"/>
      <x:c r="E68" s="200" t="n"/>
      <x:c r="F68" s="200" t="n"/>
      <x:c r="G68" s="200" t="n"/>
      <x:c r="H68" s="200" t="n"/>
      <x:c r="I68" s="200" t="n"/>
      <x:c r="J68" s="200" t="n"/>
      <x:c r="K68" s="200" t="n"/>
      <x:c r="L68" s="200" t="n"/>
      <x:c r="M68" s="200" t="n"/>
      <x:c r="N68" s="200" t="n"/>
      <x:c r="O68" s="200" t="n"/>
      <x:c r="P68" s="200" t="n"/>
      <x:c r="Q68" s="200" t="n"/>
      <x:c r="R68" s="200" t="n"/>
      <x:c r="S68" s="200" t="n"/>
      <x:c r="T68" s="200" t="n"/>
      <x:c r="U68" s="200" t="n"/>
      <x:c r="V68" s="200" t="n"/>
      <x:c r="W68" s="200" t="n"/>
      <x:c r="X68" s="200" t="n"/>
      <x:c r="Y68" s="200" t="n"/>
      <x:c r="Z68" s="200" t="n"/>
    </x:row>
    <x:row r="69">
      <x:c r="A69" s="200" t="n"/>
      <x:c r="B69" s="200" t="n"/>
      <x:c r="C69" s="200" t="n"/>
      <x:c r="D69" s="200" t="n"/>
      <x:c r="E69" s="200" t="n"/>
      <x:c r="F69" s="200" t="n"/>
      <x:c r="G69" s="200" t="n"/>
      <x:c r="H69" s="200" t="n"/>
      <x:c r="I69" s="200" t="n"/>
      <x:c r="J69" s="200" t="n"/>
      <x:c r="K69" s="200" t="n"/>
      <x:c r="L69" s="200" t="n"/>
      <x:c r="M69" s="200" t="n"/>
      <x:c r="N69" s="200" t="n"/>
      <x:c r="O69" s="200" t="n"/>
      <x:c r="P69" s="200" t="n"/>
      <x:c r="Q69" s="200" t="n"/>
      <x:c r="R69" s="200" t="n"/>
      <x:c r="S69" s="200" t="n"/>
      <x:c r="T69" s="200" t="n"/>
      <x:c r="U69" s="200" t="n"/>
      <x:c r="V69" s="200" t="n"/>
      <x:c r="W69" s="200" t="n"/>
      <x:c r="X69" s="200" t="n"/>
      <x:c r="Y69" s="200" t="n"/>
      <x:c r="Z69" s="200" t="n"/>
    </x:row>
    <x:row r="70">
      <x:c r="A70" s="200" t="n"/>
      <x:c r="B70" s="200" t="n"/>
      <x:c r="C70" s="200" t="n"/>
      <x:c r="D70" s="200" t="n"/>
      <x:c r="E70" s="200" t="n"/>
      <x:c r="F70" s="200" t="n"/>
      <x:c r="G70" s="200" t="n"/>
      <x:c r="H70" s="200" t="n"/>
      <x:c r="I70" s="200" t="n"/>
      <x:c r="J70" s="200" t="n"/>
      <x:c r="K70" s="200" t="n"/>
      <x:c r="L70" s="200" t="n"/>
      <x:c r="M70" s="200" t="n"/>
      <x:c r="N70" s="200" t="n"/>
      <x:c r="O70" s="200" t="n"/>
      <x:c r="P70" s="200" t="n"/>
      <x:c r="Q70" s="200" t="n"/>
      <x:c r="R70" s="200" t="n"/>
      <x:c r="S70" s="200" t="n"/>
      <x:c r="T70" s="200" t="n"/>
      <x:c r="U70" s="200" t="n"/>
      <x:c r="V70" s="200" t="n"/>
      <x:c r="W70" s="200" t="n"/>
      <x:c r="X70" s="200" t="n"/>
      <x:c r="Y70" s="200" t="n"/>
      <x:c r="Z70" s="200" t="n"/>
    </x:row>
    <x:row r="71">
      <x:c r="A71" s="200" t="n"/>
      <x:c r="B71" s="200" t="n"/>
      <x:c r="C71" s="200" t="n"/>
      <x:c r="D71" s="200" t="n"/>
      <x:c r="E71" s="200" t="n"/>
      <x:c r="F71" s="200" t="n"/>
      <x:c r="G71" s="200" t="n"/>
      <x:c r="H71" s="200" t="n"/>
      <x:c r="I71" s="200" t="n"/>
      <x:c r="J71" s="200" t="n"/>
      <x:c r="K71" s="200" t="n"/>
      <x:c r="L71" s="200" t="n"/>
      <x:c r="M71" s="200" t="n"/>
      <x:c r="N71" s="200" t="n"/>
      <x:c r="O71" s="200" t="n"/>
      <x:c r="P71" s="200" t="n"/>
      <x:c r="Q71" s="200" t="n"/>
      <x:c r="R71" s="200" t="n"/>
      <x:c r="S71" s="200" t="n"/>
      <x:c r="T71" s="200" t="n"/>
      <x:c r="U71" s="200" t="n"/>
      <x:c r="V71" s="200" t="n"/>
      <x:c r="W71" s="200" t="n"/>
      <x:c r="X71" s="200" t="n"/>
      <x:c r="Y71" s="200" t="n"/>
      <x:c r="Z71" s="200" t="n"/>
    </x:row>
    <x:row r="72">
      <x:c r="A72" s="200" t="n"/>
      <x:c r="B72" s="200" t="n"/>
      <x:c r="C72" s="200" t="n"/>
      <x:c r="D72" s="200" t="n"/>
      <x:c r="E72" s="200" t="n"/>
      <x:c r="F72" s="200" t="n"/>
      <x:c r="G72" s="200" t="n"/>
      <x:c r="H72" s="200" t="n"/>
      <x:c r="I72" s="200" t="n"/>
      <x:c r="J72" s="200" t="n"/>
      <x:c r="K72" s="200" t="n"/>
      <x:c r="L72" s="200" t="n"/>
      <x:c r="M72" s="200" t="n"/>
      <x:c r="N72" s="200" t="n"/>
      <x:c r="O72" s="200" t="n"/>
      <x:c r="P72" s="200" t="n"/>
      <x:c r="Q72" s="200" t="n"/>
      <x:c r="R72" s="200" t="n"/>
      <x:c r="S72" s="200" t="n"/>
      <x:c r="T72" s="200" t="n"/>
      <x:c r="U72" s="200" t="n"/>
      <x:c r="V72" s="200" t="n"/>
      <x:c r="W72" s="200" t="n"/>
      <x:c r="X72" s="200" t="n"/>
      <x:c r="Y72" s="200" t="n"/>
      <x:c r="Z72" s="200" t="n"/>
    </x:row>
    <x:row r="73">
      <x:c r="A73" s="200" t="n"/>
      <x:c r="B73" s="200" t="n"/>
      <x:c r="C73" s="200" t="n"/>
      <x:c r="D73" s="200" t="n"/>
      <x:c r="E73" s="200" t="n"/>
      <x:c r="F73" s="200" t="n"/>
      <x:c r="G73" s="200" t="n"/>
      <x:c r="H73" s="200" t="n"/>
      <x:c r="I73" s="200" t="n"/>
      <x:c r="J73" s="200" t="n"/>
      <x:c r="K73" s="200" t="n"/>
      <x:c r="L73" s="200" t="n"/>
      <x:c r="M73" s="200" t="n"/>
      <x:c r="N73" s="200" t="n"/>
      <x:c r="O73" s="200" t="n"/>
      <x:c r="P73" s="200" t="n"/>
      <x:c r="Q73" s="200" t="n"/>
      <x:c r="R73" s="200" t="n"/>
      <x:c r="S73" s="200" t="n"/>
      <x:c r="T73" s="200" t="n"/>
      <x:c r="U73" s="200" t="n"/>
      <x:c r="V73" s="200" t="n"/>
      <x:c r="W73" s="200" t="n"/>
      <x:c r="X73" s="200" t="n"/>
      <x:c r="Y73" s="200" t="n"/>
      <x:c r="Z73" s="200" t="n"/>
    </x:row>
    <x:row r="74">
      <x:c r="A74" s="200" t="n"/>
      <x:c r="B74" s="200" t="n"/>
      <x:c r="C74" s="200" t="n"/>
      <x:c r="D74" s="200" t="n"/>
      <x:c r="E74" s="200" t="n"/>
      <x:c r="F74" s="200" t="n"/>
      <x:c r="G74" s="200" t="n"/>
      <x:c r="H74" s="200" t="n"/>
      <x:c r="I74" s="200" t="n"/>
      <x:c r="J74" s="200" t="n"/>
      <x:c r="K74" s="200" t="n"/>
      <x:c r="L74" s="200" t="n"/>
      <x:c r="M74" s="200" t="n"/>
      <x:c r="N74" s="200" t="n"/>
      <x:c r="O74" s="200" t="n"/>
      <x:c r="P74" s="200" t="n"/>
      <x:c r="Q74" s="200" t="n"/>
      <x:c r="R74" s="200" t="n"/>
      <x:c r="S74" s="200" t="n"/>
      <x:c r="T74" s="200" t="n"/>
      <x:c r="U74" s="200" t="n"/>
      <x:c r="V74" s="200" t="n"/>
      <x:c r="W74" s="200" t="n"/>
      <x:c r="X74" s="200" t="n"/>
      <x:c r="Y74" s="200" t="n"/>
      <x:c r="Z74" s="200" t="n"/>
    </x:row>
    <x:row r="75">
      <x:c r="A75" s="200" t="n"/>
      <x:c r="B75" s="200" t="n"/>
      <x:c r="C75" s="200" t="n"/>
      <x:c r="D75" s="200" t="n"/>
      <x:c r="E75" s="200" t="n"/>
      <x:c r="F75" s="200" t="n"/>
      <x:c r="G75" s="200" t="n"/>
      <x:c r="H75" s="200" t="n"/>
      <x:c r="I75" s="200" t="n"/>
      <x:c r="J75" s="200" t="n"/>
      <x:c r="K75" s="200" t="n"/>
      <x:c r="L75" s="200" t="n"/>
      <x:c r="M75" s="200" t="n"/>
      <x:c r="N75" s="200" t="n"/>
      <x:c r="O75" s="200" t="n"/>
      <x:c r="P75" s="200" t="n"/>
      <x:c r="Q75" s="200" t="n"/>
      <x:c r="R75" s="200" t="n"/>
      <x:c r="S75" s="200" t="n"/>
      <x:c r="T75" s="200" t="n"/>
      <x:c r="U75" s="200" t="n"/>
      <x:c r="V75" s="200" t="n"/>
      <x:c r="W75" s="200" t="n"/>
      <x:c r="X75" s="200" t="n"/>
      <x:c r="Y75" s="200" t="n"/>
      <x:c r="Z75" s="200" t="n"/>
    </x:row>
    <x:row r="76">
      <x:c r="A76" s="200" t="n"/>
      <x:c r="B76" s="200" t="n"/>
      <x:c r="C76" s="200" t="n"/>
      <x:c r="D76" s="200" t="n"/>
      <x:c r="E76" s="200" t="n"/>
      <x:c r="F76" s="200" t="n"/>
      <x:c r="G76" s="200" t="n"/>
      <x:c r="H76" s="200" t="n"/>
      <x:c r="I76" s="200" t="n"/>
      <x:c r="J76" s="200" t="n"/>
      <x:c r="K76" s="200" t="n"/>
      <x:c r="L76" s="200" t="n"/>
      <x:c r="M76" s="200" t="n"/>
      <x:c r="N76" s="200" t="n"/>
      <x:c r="O76" s="200" t="n"/>
      <x:c r="P76" s="200" t="n"/>
      <x:c r="Q76" s="200" t="n"/>
      <x:c r="R76" s="200" t="n"/>
      <x:c r="S76" s="200" t="n"/>
      <x:c r="T76" s="200" t="n"/>
      <x:c r="U76" s="200" t="n"/>
      <x:c r="V76" s="200" t="n"/>
      <x:c r="W76" s="200" t="n"/>
      <x:c r="X76" s="200" t="n"/>
      <x:c r="Y76" s="200" t="n"/>
      <x:c r="Z76" s="200" t="n"/>
    </x:row>
    <x:row r="77">
      <x:c r="A77" s="200" t="n"/>
      <x:c r="B77" s="200" t="n"/>
      <x:c r="C77" s="200" t="n"/>
      <x:c r="D77" s="200" t="n"/>
      <x:c r="E77" s="200" t="n"/>
      <x:c r="F77" s="200" t="n"/>
      <x:c r="G77" s="200" t="n"/>
      <x:c r="H77" s="200" t="n"/>
      <x:c r="I77" s="200" t="n"/>
      <x:c r="J77" s="200" t="n"/>
      <x:c r="K77" s="200" t="n"/>
      <x:c r="L77" s="200" t="n"/>
      <x:c r="M77" s="200" t="n"/>
      <x:c r="N77" s="200" t="n"/>
      <x:c r="O77" s="200" t="n"/>
      <x:c r="P77" s="200" t="n"/>
      <x:c r="Q77" s="200" t="n"/>
      <x:c r="R77" s="200" t="n"/>
      <x:c r="S77" s="200" t="n"/>
      <x:c r="T77" s="200" t="n"/>
      <x:c r="U77" s="200" t="n"/>
      <x:c r="V77" s="200" t="n"/>
      <x:c r="W77" s="200" t="n"/>
      <x:c r="X77" s="200" t="n"/>
      <x:c r="Y77" s="200" t="n"/>
      <x:c r="Z77" s="200" t="n"/>
    </x:row>
    <x:row r="78">
      <x:c r="A78" s="200" t="n"/>
      <x:c r="B78" s="200" t="n"/>
      <x:c r="C78" s="200" t="n"/>
      <x:c r="D78" s="200" t="n"/>
      <x:c r="E78" s="200" t="n"/>
      <x:c r="F78" s="200" t="n"/>
      <x:c r="G78" s="200" t="n"/>
      <x:c r="H78" s="200" t="n"/>
      <x:c r="I78" s="200" t="n"/>
      <x:c r="J78" s="200" t="n"/>
      <x:c r="K78" s="200" t="n"/>
      <x:c r="L78" s="200" t="n"/>
      <x:c r="M78" s="200" t="n"/>
      <x:c r="N78" s="200" t="n"/>
      <x:c r="O78" s="200" t="n"/>
      <x:c r="P78" s="200" t="n"/>
      <x:c r="Q78" s="200" t="n"/>
      <x:c r="R78" s="200" t="n"/>
      <x:c r="S78" s="200" t="n"/>
      <x:c r="T78" s="200" t="n"/>
      <x:c r="U78" s="200" t="n"/>
      <x:c r="V78" s="200" t="n"/>
      <x:c r="W78" s="200" t="n"/>
      <x:c r="X78" s="200" t="n"/>
      <x:c r="Y78" s="200" t="n"/>
      <x:c r="Z78" s="200" t="n"/>
    </x:row>
    <x:row r="79">
      <x:c r="A79" s="200" t="n"/>
      <x:c r="B79" s="200" t="n"/>
      <x:c r="C79" s="200" t="n"/>
      <x:c r="D79" s="200" t="n"/>
      <x:c r="E79" s="200" t="n"/>
      <x:c r="F79" s="200" t="n"/>
      <x:c r="G79" s="200" t="n"/>
      <x:c r="H79" s="200" t="n"/>
      <x:c r="I79" s="200" t="n"/>
      <x:c r="J79" s="200" t="n"/>
      <x:c r="K79" s="200" t="n"/>
      <x:c r="L79" s="200" t="n"/>
      <x:c r="M79" s="200" t="n"/>
      <x:c r="N79" s="200" t="n"/>
      <x:c r="O79" s="200" t="n"/>
      <x:c r="P79" s="200" t="n"/>
      <x:c r="Q79" s="200" t="n"/>
      <x:c r="R79" s="200" t="n"/>
      <x:c r="S79" s="200" t="n"/>
      <x:c r="T79" s="200" t="n"/>
      <x:c r="U79" s="200" t="n"/>
      <x:c r="V79" s="200" t="n"/>
      <x:c r="W79" s="200" t="n"/>
      <x:c r="X79" s="200" t="n"/>
      <x:c r="Y79" s="200" t="n"/>
      <x:c r="Z79" s="200" t="n"/>
    </x:row>
    <x:row r="80">
      <x:c r="A80" s="200" t="n"/>
      <x:c r="B80" s="200" t="n"/>
      <x:c r="C80" s="200" t="n"/>
      <x:c r="D80" s="200" t="n"/>
      <x:c r="E80" s="200" t="n"/>
      <x:c r="F80" s="200" t="n"/>
      <x:c r="G80" s="200" t="n"/>
      <x:c r="H80" s="200" t="n"/>
      <x:c r="I80" s="200" t="n"/>
      <x:c r="J80" s="200" t="n"/>
      <x:c r="K80" s="200" t="n"/>
      <x:c r="L80" s="200" t="n"/>
      <x:c r="M80" s="200" t="n"/>
      <x:c r="N80" s="200" t="n"/>
      <x:c r="O80" s="200" t="n"/>
      <x:c r="P80" s="200" t="n"/>
      <x:c r="Q80" s="200" t="n"/>
      <x:c r="R80" s="200" t="n"/>
      <x:c r="S80" s="200" t="n"/>
      <x:c r="T80" s="200" t="n"/>
      <x:c r="U80" s="200" t="n"/>
      <x:c r="V80" s="200" t="n"/>
      <x:c r="W80" s="200" t="n"/>
      <x:c r="X80" s="200" t="n"/>
      <x:c r="Y80" s="200" t="n"/>
      <x:c r="Z80" s="200" t="n"/>
    </x:row>
    <x:row r="81">
      <x:c r="A81" s="200" t="n"/>
      <x:c r="B81" s="200" t="n"/>
      <x:c r="C81" s="200" t="n"/>
      <x:c r="D81" s="200" t="n"/>
      <x:c r="E81" s="200" t="n"/>
      <x:c r="F81" s="200" t="n"/>
      <x:c r="G81" s="200" t="n"/>
      <x:c r="H81" s="200" t="n"/>
      <x:c r="I81" s="200" t="n"/>
      <x:c r="J81" s="200" t="n"/>
      <x:c r="K81" s="200" t="n"/>
      <x:c r="L81" s="200" t="n"/>
      <x:c r="M81" s="200" t="n"/>
      <x:c r="N81" s="200" t="n"/>
      <x:c r="O81" s="200" t="n"/>
      <x:c r="P81" s="200" t="n"/>
      <x:c r="Q81" s="200" t="n"/>
      <x:c r="R81" s="200" t="n"/>
      <x:c r="S81" s="200" t="n"/>
      <x:c r="T81" s="200" t="n"/>
      <x:c r="U81" s="200" t="n"/>
      <x:c r="V81" s="200" t="n"/>
      <x:c r="W81" s="200" t="n"/>
      <x:c r="X81" s="200" t="n"/>
      <x:c r="Y81" s="200" t="n"/>
      <x:c r="Z81" s="200" t="n"/>
    </x:row>
    <x:row r="82">
      <x:c r="A82" s="200" t="n"/>
      <x:c r="B82" s="200" t="n"/>
      <x:c r="C82" s="200" t="n"/>
      <x:c r="D82" s="200" t="n"/>
      <x:c r="E82" s="200" t="n"/>
      <x:c r="F82" s="200" t="n"/>
      <x:c r="G82" s="200" t="n"/>
      <x:c r="H82" s="200" t="n"/>
      <x:c r="I82" s="200" t="n"/>
      <x:c r="J82" s="200" t="n"/>
      <x:c r="K82" s="200" t="n"/>
      <x:c r="L82" s="200" t="n"/>
      <x:c r="M82" s="200" t="n"/>
      <x:c r="N82" s="200" t="n"/>
      <x:c r="O82" s="200" t="n"/>
      <x:c r="P82" s="200" t="n"/>
      <x:c r="Q82" s="200" t="n"/>
      <x:c r="R82" s="200" t="n"/>
      <x:c r="S82" s="200" t="n"/>
      <x:c r="T82" s="200" t="n"/>
      <x:c r="U82" s="200" t="n"/>
      <x:c r="V82" s="200" t="n"/>
      <x:c r="W82" s="200" t="n"/>
      <x:c r="X82" s="200" t="n"/>
      <x:c r="Y82" s="200" t="n"/>
      <x:c r="Z82" s="200" t="n"/>
    </x:row>
    <x:row r="83">
      <x:c r="A83" s="200" t="n"/>
      <x:c r="B83" s="200" t="n"/>
      <x:c r="C83" s="200" t="n"/>
      <x:c r="D83" s="200" t="n"/>
      <x:c r="E83" s="200" t="n"/>
      <x:c r="F83" s="200" t="n"/>
      <x:c r="G83" s="200" t="n"/>
      <x:c r="H83" s="200" t="n"/>
      <x:c r="I83" s="200" t="n"/>
      <x:c r="J83" s="200" t="n"/>
      <x:c r="K83" s="200" t="n"/>
      <x:c r="L83" s="200" t="n"/>
      <x:c r="M83" s="200" t="n"/>
      <x:c r="N83" s="200" t="n"/>
      <x:c r="O83" s="200" t="n"/>
      <x:c r="P83" s="200" t="n"/>
      <x:c r="Q83" s="200" t="n"/>
      <x:c r="R83" s="200" t="n"/>
      <x:c r="S83" s="200" t="n"/>
      <x:c r="T83" s="200" t="n"/>
      <x:c r="U83" s="200" t="n"/>
      <x:c r="V83" s="200" t="n"/>
      <x:c r="W83" s="200" t="n"/>
      <x:c r="X83" s="200" t="n"/>
      <x:c r="Y83" s="200" t="n"/>
      <x:c r="Z83" s="200" t="n"/>
    </x:row>
    <x:row r="84">
      <x:c r="A84" s="200" t="n"/>
      <x:c r="B84" s="200" t="n"/>
      <x:c r="C84" s="200" t="n"/>
      <x:c r="D84" s="200" t="n"/>
      <x:c r="E84" s="200" t="n"/>
      <x:c r="F84" s="200" t="n"/>
      <x:c r="G84" s="200" t="n"/>
      <x:c r="H84" s="200" t="n"/>
      <x:c r="I84" s="200" t="n"/>
      <x:c r="J84" s="200" t="n"/>
      <x:c r="K84" s="200" t="n"/>
      <x:c r="L84" s="200" t="n"/>
      <x:c r="M84" s="200" t="n"/>
      <x:c r="N84" s="200" t="n"/>
      <x:c r="O84" s="200" t="n"/>
      <x:c r="P84" s="200" t="n"/>
      <x:c r="Q84" s="200" t="n"/>
      <x:c r="R84" s="200" t="n"/>
      <x:c r="S84" s="200" t="n"/>
      <x:c r="T84" s="200" t="n"/>
      <x:c r="U84" s="200" t="n"/>
      <x:c r="V84" s="200" t="n"/>
      <x:c r="W84" s="200" t="n"/>
      <x:c r="X84" s="200" t="n"/>
      <x:c r="Y84" s="200" t="n"/>
      <x:c r="Z84" s="200" t="n"/>
    </x:row>
    <x:row r="85">
      <x:c r="A85" s="200" t="n"/>
      <x:c r="B85" s="200" t="n"/>
      <x:c r="C85" s="200" t="n"/>
      <x:c r="D85" s="200" t="n"/>
      <x:c r="E85" s="200" t="n"/>
      <x:c r="F85" s="200" t="n"/>
      <x:c r="G85" s="200" t="n"/>
      <x:c r="H85" s="200" t="n"/>
      <x:c r="I85" s="200" t="n"/>
      <x:c r="J85" s="200" t="n"/>
      <x:c r="K85" s="200" t="n"/>
      <x:c r="L85" s="200" t="n"/>
      <x:c r="M85" s="200" t="n"/>
      <x:c r="N85" s="200" t="n"/>
      <x:c r="O85" s="200" t="n"/>
      <x:c r="P85" s="200" t="n"/>
      <x:c r="Q85" s="200" t="n"/>
      <x:c r="R85" s="200" t="n"/>
      <x:c r="S85" s="200" t="n"/>
      <x:c r="T85" s="200" t="n"/>
      <x:c r="U85" s="200" t="n"/>
      <x:c r="V85" s="200" t="n"/>
      <x:c r="W85" s="200" t="n"/>
      <x:c r="X85" s="200" t="n"/>
      <x:c r="Y85" s="200" t="n"/>
      <x:c r="Z85" s="200" t="n"/>
    </x:row>
    <x:row r="86">
      <x:c r="A86" s="200" t="n"/>
      <x:c r="B86" s="200" t="n"/>
      <x:c r="C86" s="200" t="n"/>
      <x:c r="D86" s="200" t="n"/>
      <x:c r="E86" s="200" t="n"/>
      <x:c r="F86" s="200" t="n"/>
      <x:c r="G86" s="200" t="n"/>
      <x:c r="H86" s="200" t="n"/>
      <x:c r="I86" s="200" t="n"/>
      <x:c r="J86" s="200" t="n"/>
      <x:c r="K86" s="200" t="n"/>
      <x:c r="L86" s="200" t="n"/>
      <x:c r="M86" s="200" t="n"/>
      <x:c r="N86" s="200" t="n"/>
      <x:c r="O86" s="200" t="n"/>
      <x:c r="P86" s="200" t="n"/>
      <x:c r="Q86" s="200" t="n"/>
      <x:c r="R86" s="200" t="n"/>
      <x:c r="S86" s="200" t="n"/>
      <x:c r="T86" s="200" t="n"/>
      <x:c r="U86" s="200" t="n"/>
      <x:c r="V86" s="200" t="n"/>
      <x:c r="W86" s="200" t="n"/>
      <x:c r="X86" s="200" t="n"/>
      <x:c r="Y86" s="200" t="n"/>
      <x:c r="Z86" s="200" t="n"/>
    </x:row>
    <x:row r="87">
      <x:c r="A87" s="200" t="n"/>
      <x:c r="B87" s="200" t="n"/>
      <x:c r="C87" s="200" t="n"/>
      <x:c r="D87" s="200" t="n"/>
      <x:c r="E87" s="200" t="n"/>
      <x:c r="F87" s="200" t="n"/>
      <x:c r="G87" s="200" t="n"/>
      <x:c r="H87" s="200" t="n"/>
      <x:c r="I87" s="200" t="n"/>
      <x:c r="J87" s="200" t="n"/>
      <x:c r="K87" s="200" t="n"/>
      <x:c r="L87" s="200" t="n"/>
      <x:c r="M87" s="200" t="n"/>
      <x:c r="N87" s="200" t="n"/>
      <x:c r="O87" s="200" t="n"/>
      <x:c r="P87" s="200" t="n"/>
      <x:c r="Q87" s="200" t="n"/>
      <x:c r="R87" s="200" t="n"/>
      <x:c r="S87" s="200" t="n"/>
      <x:c r="T87" s="200" t="n"/>
      <x:c r="U87" s="200" t="n"/>
      <x:c r="V87" s="200" t="n"/>
      <x:c r="W87" s="200" t="n"/>
      <x:c r="X87" s="200" t="n"/>
      <x:c r="Y87" s="200" t="n"/>
      <x:c r="Z87" s="200" t="n"/>
    </x:row>
    <x:row r="88">
      <x:c r="A88" s="200" t="n"/>
      <x:c r="B88" s="200" t="n"/>
      <x:c r="C88" s="200" t="n"/>
      <x:c r="D88" s="200" t="n"/>
      <x:c r="E88" s="200" t="n"/>
      <x:c r="F88" s="200" t="n"/>
      <x:c r="G88" s="200" t="n"/>
      <x:c r="H88" s="200" t="n"/>
      <x:c r="I88" s="200" t="n"/>
      <x:c r="J88" s="200" t="n"/>
      <x:c r="K88" s="200" t="n"/>
      <x:c r="L88" s="200" t="n"/>
      <x:c r="M88" s="200" t="n"/>
      <x:c r="N88" s="200" t="n"/>
      <x:c r="O88" s="200" t="n"/>
      <x:c r="P88" s="200" t="n"/>
      <x:c r="Q88" s="200" t="n"/>
      <x:c r="R88" s="200" t="n"/>
      <x:c r="S88" s="200" t="n"/>
      <x:c r="T88" s="200" t="n"/>
      <x:c r="U88" s="200" t="n"/>
      <x:c r="V88" s="200" t="n"/>
      <x:c r="W88" s="200" t="n"/>
      <x:c r="X88" s="200" t="n"/>
      <x:c r="Y88" s="200" t="n"/>
      <x:c r="Z88" s="200" t="n"/>
    </x:row>
    <x:row r="89">
      <x:c r="A89" s="200" t="n"/>
      <x:c r="B89" s="200" t="n"/>
      <x:c r="C89" s="200" t="n"/>
      <x:c r="D89" s="200" t="n"/>
      <x:c r="E89" s="200" t="n"/>
      <x:c r="F89" s="200" t="n"/>
      <x:c r="G89" s="200" t="n"/>
      <x:c r="H89" s="200" t="n"/>
      <x:c r="I89" s="200" t="n"/>
      <x:c r="J89" s="200" t="n"/>
      <x:c r="K89" s="200" t="n"/>
      <x:c r="L89" s="200" t="n"/>
      <x:c r="M89" s="200" t="n"/>
      <x:c r="N89" s="200" t="n"/>
      <x:c r="O89" s="200" t="n"/>
      <x:c r="P89" s="200" t="n"/>
      <x:c r="Q89" s="200" t="n"/>
      <x:c r="R89" s="200" t="n"/>
      <x:c r="S89" s="200" t="n"/>
      <x:c r="T89" s="200" t="n"/>
      <x:c r="U89" s="200" t="n"/>
      <x:c r="V89" s="200" t="n"/>
      <x:c r="W89" s="200" t="n"/>
      <x:c r="X89" s="200" t="n"/>
      <x:c r="Y89" s="200" t="n"/>
      <x:c r="Z89" s="200" t="n"/>
    </x:row>
    <x:row r="90">
      <x:c r="A90" s="200" t="n"/>
      <x:c r="B90" s="200" t="n"/>
      <x:c r="C90" s="200" t="n"/>
      <x:c r="D90" s="200" t="n"/>
      <x:c r="E90" s="200" t="n"/>
      <x:c r="F90" s="200" t="n"/>
      <x:c r="G90" s="200" t="n"/>
      <x:c r="H90" s="200" t="n"/>
      <x:c r="I90" s="200" t="n"/>
      <x:c r="J90" s="200" t="n"/>
      <x:c r="K90" s="200" t="n"/>
      <x:c r="L90" s="200" t="n"/>
      <x:c r="M90" s="200" t="n"/>
      <x:c r="N90" s="200" t="n"/>
      <x:c r="O90" s="200" t="n"/>
      <x:c r="P90" s="200" t="n"/>
      <x:c r="Q90" s="200" t="n"/>
      <x:c r="R90" s="200" t="n"/>
      <x:c r="S90" s="200" t="n"/>
      <x:c r="T90" s="200" t="n"/>
      <x:c r="U90" s="200" t="n"/>
      <x:c r="V90" s="200" t="n"/>
      <x:c r="W90" s="200" t="n"/>
      <x:c r="X90" s="200" t="n"/>
      <x:c r="Y90" s="200" t="n"/>
      <x:c r="Z90" s="200" t="n"/>
    </x:row>
    <x:row r="91">
      <x:c r="A91" s="200" t="n"/>
      <x:c r="B91" s="200" t="n"/>
      <x:c r="C91" s="200" t="n"/>
      <x:c r="D91" s="200" t="n"/>
      <x:c r="E91" s="200" t="n"/>
      <x:c r="F91" s="200" t="n"/>
      <x:c r="G91" s="200" t="n"/>
      <x:c r="H91" s="200" t="n"/>
      <x:c r="I91" s="200" t="n"/>
      <x:c r="J91" s="200" t="n"/>
      <x:c r="K91" s="200" t="n"/>
      <x:c r="L91" s="200" t="n"/>
      <x:c r="M91" s="200" t="n"/>
      <x:c r="N91" s="200" t="n"/>
      <x:c r="O91" s="200" t="n"/>
      <x:c r="P91" s="200" t="n"/>
      <x:c r="Q91" s="200" t="n"/>
      <x:c r="R91" s="200" t="n"/>
      <x:c r="S91" s="200" t="n"/>
      <x:c r="T91" s="200" t="n"/>
      <x:c r="U91" s="200" t="n"/>
      <x:c r="V91" s="200" t="n"/>
      <x:c r="W91" s="200" t="n"/>
      <x:c r="X91" s="200" t="n"/>
      <x:c r="Y91" s="200" t="n"/>
      <x:c r="Z91" s="200" t="n"/>
    </x:row>
    <x:row r="92">
      <x:c r="A92" s="200" t="n"/>
      <x:c r="B92" s="200" t="n"/>
      <x:c r="C92" s="200" t="n"/>
      <x:c r="D92" s="200" t="n"/>
      <x:c r="E92" s="200" t="n"/>
      <x:c r="F92" s="200" t="n"/>
      <x:c r="G92" s="200" t="n"/>
      <x:c r="H92" s="200" t="n"/>
      <x:c r="I92" s="200" t="n"/>
      <x:c r="J92" s="200" t="n"/>
      <x:c r="K92" s="200" t="n"/>
      <x:c r="L92" s="200" t="n"/>
      <x:c r="M92" s="200" t="n"/>
      <x:c r="N92" s="200" t="n"/>
      <x:c r="O92" s="200" t="n"/>
      <x:c r="P92" s="200" t="n"/>
      <x:c r="Q92" s="200" t="n"/>
      <x:c r="R92" s="200" t="n"/>
      <x:c r="S92" s="200" t="n"/>
      <x:c r="T92" s="200" t="n"/>
      <x:c r="U92" s="200" t="n"/>
      <x:c r="V92" s="200" t="n"/>
      <x:c r="W92" s="200" t="n"/>
      <x:c r="X92" s="200" t="n"/>
      <x:c r="Y92" s="200" t="n"/>
      <x:c r="Z92" s="200" t="n"/>
    </x:row>
    <x:row r="93">
      <x:c r="A93" s="200" t="n"/>
      <x:c r="B93" s="200" t="n"/>
      <x:c r="C93" s="200" t="n"/>
      <x:c r="D93" s="200" t="n"/>
      <x:c r="E93" s="200" t="n"/>
      <x:c r="F93" s="200" t="n"/>
      <x:c r="G93" s="200" t="n"/>
      <x:c r="H93" s="200" t="n"/>
      <x:c r="I93" s="200" t="n"/>
      <x:c r="J93" s="200" t="n"/>
      <x:c r="K93" s="200" t="n"/>
      <x:c r="L93" s="200" t="n"/>
      <x:c r="M93" s="200" t="n"/>
      <x:c r="N93" s="200" t="n"/>
      <x:c r="O93" s="200" t="n"/>
      <x:c r="P93" s="200" t="n"/>
      <x:c r="Q93" s="200" t="n"/>
      <x:c r="R93" s="200" t="n"/>
      <x:c r="S93" s="200" t="n"/>
      <x:c r="T93" s="200" t="n"/>
      <x:c r="U93" s="200" t="n"/>
      <x:c r="V93" s="200" t="n"/>
      <x:c r="W93" s="200" t="n"/>
      <x:c r="X93" s="200" t="n"/>
      <x:c r="Y93" s="200" t="n"/>
      <x:c r="Z93" s="200" t="n"/>
    </x:row>
    <x:row r="94">
      <x:c r="A94" s="200" t="n"/>
      <x:c r="B94" s="200" t="n"/>
      <x:c r="C94" s="200" t="n"/>
      <x:c r="D94" s="200" t="n"/>
      <x:c r="E94" s="200" t="n"/>
      <x:c r="F94" s="200" t="n"/>
      <x:c r="G94" s="200" t="n"/>
      <x:c r="H94" s="200" t="n"/>
      <x:c r="I94" s="200" t="n"/>
      <x:c r="J94" s="200" t="n"/>
      <x:c r="K94" s="200" t="n"/>
      <x:c r="L94" s="200" t="n"/>
      <x:c r="M94" s="200" t="n"/>
      <x:c r="N94" s="200" t="n"/>
      <x:c r="O94" s="200" t="n"/>
      <x:c r="P94" s="200" t="n"/>
      <x:c r="Q94" s="200" t="n"/>
      <x:c r="R94" s="200" t="n"/>
      <x:c r="S94" s="200" t="n"/>
      <x:c r="T94" s="200" t="n"/>
      <x:c r="U94" s="200" t="n"/>
      <x:c r="V94" s="200" t="n"/>
      <x:c r="W94" s="200" t="n"/>
      <x:c r="X94" s="200" t="n"/>
      <x:c r="Y94" s="200" t="n"/>
      <x:c r="Z94" s="200" t="n"/>
    </x:row>
    <x:row r="95">
      <x:c r="A95" s="200" t="n"/>
      <x:c r="B95" s="200" t="n"/>
      <x:c r="C95" s="200" t="n"/>
      <x:c r="D95" s="200" t="n"/>
      <x:c r="E95" s="200" t="n"/>
      <x:c r="F95" s="200" t="n"/>
      <x:c r="G95" s="200" t="n"/>
      <x:c r="H95" s="200" t="n"/>
      <x:c r="I95" s="200" t="n"/>
      <x:c r="J95" s="200" t="n"/>
      <x:c r="K95" s="200" t="n"/>
      <x:c r="L95" s="200" t="n"/>
      <x:c r="M95" s="200" t="n"/>
      <x:c r="N95" s="200" t="n"/>
      <x:c r="O95" s="200" t="n"/>
      <x:c r="P95" s="200" t="n"/>
      <x:c r="Q95" s="200" t="n"/>
      <x:c r="R95" s="200" t="n"/>
      <x:c r="S95" s="200" t="n"/>
      <x:c r="T95" s="200" t="n"/>
      <x:c r="U95" s="200" t="n"/>
      <x:c r="V95" s="200" t="n"/>
      <x:c r="W95" s="200" t="n"/>
      <x:c r="X95" s="200" t="n"/>
      <x:c r="Y95" s="200" t="n"/>
      <x:c r="Z95" s="200" t="n"/>
    </x:row>
    <x:row r="96">
      <x:c r="A96" s="200" t="n"/>
      <x:c r="B96" s="200" t="n"/>
      <x:c r="C96" s="200" t="n"/>
      <x:c r="D96" s="200" t="n"/>
      <x:c r="E96" s="200" t="n"/>
      <x:c r="F96" s="200" t="n"/>
      <x:c r="G96" s="200" t="n"/>
      <x:c r="H96" s="200" t="n"/>
      <x:c r="I96" s="200" t="n"/>
      <x:c r="J96" s="200" t="n"/>
      <x:c r="K96" s="200" t="n"/>
      <x:c r="L96" s="200" t="n"/>
      <x:c r="M96" s="200" t="n"/>
      <x:c r="N96" s="200" t="n"/>
      <x:c r="O96" s="200" t="n"/>
      <x:c r="P96" s="200" t="n"/>
      <x:c r="Q96" s="200" t="n"/>
      <x:c r="R96" s="200" t="n"/>
      <x:c r="S96" s="200" t="n"/>
      <x:c r="T96" s="200" t="n"/>
      <x:c r="U96" s="200" t="n"/>
      <x:c r="V96" s="200" t="n"/>
      <x:c r="W96" s="200" t="n"/>
      <x:c r="X96" s="200" t="n"/>
      <x:c r="Y96" s="200" t="n"/>
      <x:c r="Z96" s="200" t="n"/>
    </x:row>
    <x:row r="97">
      <x:c r="A97" s="200" t="n"/>
      <x:c r="B97" s="200" t="n"/>
      <x:c r="C97" s="200" t="n"/>
      <x:c r="D97" s="200" t="n"/>
      <x:c r="E97" s="200" t="n"/>
      <x:c r="F97" s="200" t="n"/>
      <x:c r="G97" s="200" t="n"/>
      <x:c r="H97" s="200" t="n"/>
      <x:c r="I97" s="200" t="n"/>
      <x:c r="J97" s="200" t="n"/>
      <x:c r="K97" s="200" t="n"/>
      <x:c r="L97" s="200" t="n"/>
      <x:c r="M97" s="200" t="n"/>
      <x:c r="N97" s="200" t="n"/>
      <x:c r="O97" s="200" t="n"/>
      <x:c r="P97" s="200" t="n"/>
      <x:c r="Q97" s="200" t="n"/>
      <x:c r="R97" s="200" t="n"/>
      <x:c r="S97" s="200" t="n"/>
      <x:c r="T97" s="200" t="n"/>
      <x:c r="U97" s="200" t="n"/>
      <x:c r="V97" s="200" t="n"/>
      <x:c r="W97" s="200" t="n"/>
      <x:c r="X97" s="200" t="n"/>
      <x:c r="Y97" s="200" t="n"/>
      <x:c r="Z97" s="200" t="n"/>
    </x:row>
    <x:row r="98">
      <x:c r="A98" s="200" t="n"/>
      <x:c r="B98" s="200" t="n"/>
      <x:c r="C98" s="200" t="n"/>
      <x:c r="D98" s="200" t="n"/>
      <x:c r="E98" s="200" t="n"/>
      <x:c r="F98" s="200" t="n"/>
      <x:c r="G98" s="200" t="n"/>
      <x:c r="H98" s="200" t="n"/>
      <x:c r="I98" s="200" t="n"/>
      <x:c r="J98" s="200" t="n"/>
      <x:c r="K98" s="200" t="n"/>
      <x:c r="L98" s="200" t="n"/>
      <x:c r="M98" s="200" t="n"/>
      <x:c r="N98" s="200" t="n"/>
      <x:c r="O98" s="200" t="n"/>
      <x:c r="P98" s="200" t="n"/>
      <x:c r="Q98" s="200" t="n"/>
      <x:c r="R98" s="200" t="n"/>
      <x:c r="S98" s="200" t="n"/>
      <x:c r="T98" s="200" t="n"/>
      <x:c r="U98" s="200" t="n"/>
      <x:c r="V98" s="200" t="n"/>
      <x:c r="W98" s="200" t="n"/>
      <x:c r="X98" s="200" t="n"/>
      <x:c r="Y98" s="200" t="n"/>
      <x:c r="Z98" s="200" t="n"/>
    </x:row>
    <x:row r="99">
      <x:c r="A99" s="200" t="n"/>
      <x:c r="B99" s="200" t="n"/>
      <x:c r="C99" s="200" t="n"/>
      <x:c r="D99" s="200" t="n"/>
      <x:c r="E99" s="200" t="n"/>
      <x:c r="F99" s="200" t="n"/>
      <x:c r="G99" s="200" t="n"/>
      <x:c r="H99" s="200" t="n"/>
      <x:c r="I99" s="200" t="n"/>
      <x:c r="J99" s="200" t="n"/>
      <x:c r="K99" s="200" t="n"/>
      <x:c r="L99" s="200" t="n"/>
      <x:c r="M99" s="200" t="n"/>
      <x:c r="N99" s="200" t="n"/>
      <x:c r="O99" s="200" t="n"/>
      <x:c r="P99" s="200" t="n"/>
      <x:c r="Q99" s="200" t="n"/>
      <x:c r="R99" s="200" t="n"/>
      <x:c r="S99" s="200" t="n"/>
      <x:c r="T99" s="200" t="n"/>
      <x:c r="U99" s="200" t="n"/>
      <x:c r="V99" s="200" t="n"/>
      <x:c r="W99" s="200" t="n"/>
      <x:c r="X99" s="200" t="n"/>
      <x:c r="Y99" s="200" t="n"/>
      <x:c r="Z99" s="200" t="n"/>
    </x:row>
    <x:row r="100">
      <x:c r="A100" s="200" t="n"/>
      <x:c r="B100" s="200" t="n"/>
      <x:c r="C100" s="200" t="n"/>
      <x:c r="D100" s="200" t="n"/>
      <x:c r="E100" s="200" t="n"/>
      <x:c r="F100" s="200" t="n"/>
      <x:c r="G100" s="200" t="n"/>
      <x:c r="H100" s="200" t="n"/>
      <x:c r="I100" s="200" t="n"/>
      <x:c r="J100" s="200" t="n"/>
      <x:c r="K100" s="200" t="n"/>
      <x:c r="L100" s="200" t="n"/>
      <x:c r="M100" s="200" t="n"/>
      <x:c r="N100" s="200" t="n"/>
      <x:c r="O100" s="200" t="n"/>
      <x:c r="P100" s="200" t="n"/>
      <x:c r="Q100" s="200" t="n"/>
      <x:c r="R100" s="200" t="n"/>
      <x:c r="S100" s="200" t="n"/>
      <x:c r="T100" s="200" t="n"/>
      <x:c r="U100" s="200" t="n"/>
      <x:c r="V100" s="200" t="n"/>
      <x:c r="W100" s="200" t="n"/>
      <x:c r="X100" s="200" t="n"/>
      <x:c r="Y100" s="200" t="n"/>
      <x:c r="Z100" s="200" t="n"/>
    </x:row>
    <x:row r="101">
      <x:c r="A101" s="200" t="n"/>
      <x:c r="B101" s="200" t="n"/>
      <x:c r="C101" s="200" t="n"/>
      <x:c r="D101" s="200" t="n"/>
      <x:c r="E101" s="200" t="n"/>
      <x:c r="F101" s="200" t="n"/>
      <x:c r="G101" s="200" t="n"/>
      <x:c r="H101" s="200" t="n"/>
      <x:c r="I101" s="200" t="n"/>
      <x:c r="J101" s="200" t="n"/>
      <x:c r="K101" s="200" t="n"/>
      <x:c r="L101" s="200" t="n"/>
      <x:c r="M101" s="200" t="n"/>
      <x:c r="N101" s="200" t="n"/>
      <x:c r="O101" s="200" t="n"/>
      <x:c r="P101" s="200" t="n"/>
      <x:c r="Q101" s="200" t="n"/>
      <x:c r="R101" s="200" t="n"/>
      <x:c r="S101" s="200" t="n"/>
      <x:c r="T101" s="200" t="n"/>
      <x:c r="U101" s="200" t="n"/>
      <x:c r="V101" s="200" t="n"/>
      <x:c r="W101" s="200" t="n"/>
      <x:c r="X101" s="200" t="n"/>
      <x:c r="Y101" s="200" t="n"/>
      <x:c r="Z101" s="200" t="n"/>
    </x:row>
    <x:row r="102">
      <x:c r="A102" s="200" t="n"/>
      <x:c r="B102" s="200" t="n"/>
      <x:c r="C102" s="200" t="n"/>
      <x:c r="D102" s="200" t="n"/>
      <x:c r="E102" s="200" t="n"/>
      <x:c r="F102" s="200" t="n"/>
      <x:c r="G102" s="200" t="n"/>
      <x:c r="H102" s="200" t="n"/>
      <x:c r="I102" s="200" t="n"/>
      <x:c r="J102" s="200" t="n"/>
      <x:c r="K102" s="200" t="n"/>
      <x:c r="L102" s="200" t="n"/>
      <x:c r="M102" s="200" t="n"/>
      <x:c r="N102" s="200" t="n"/>
      <x:c r="O102" s="200" t="n"/>
      <x:c r="P102" s="200" t="n"/>
      <x:c r="Q102" s="200" t="n"/>
      <x:c r="R102" s="200" t="n"/>
      <x:c r="S102" s="200" t="n"/>
      <x:c r="T102" s="200" t="n"/>
      <x:c r="U102" s="200" t="n"/>
      <x:c r="V102" s="200" t="n"/>
      <x:c r="W102" s="200" t="n"/>
      <x:c r="X102" s="200" t="n"/>
      <x:c r="Y102" s="200" t="n"/>
      <x:c r="Z102" s="200" t="n"/>
    </x:row>
    <x:row r="103">
      <x:c r="A103" s="200" t="n"/>
      <x:c r="B103" s="200" t="n"/>
      <x:c r="C103" s="200" t="n"/>
      <x:c r="D103" s="200" t="n"/>
      <x:c r="E103" s="200" t="n"/>
      <x:c r="F103" s="200" t="n"/>
      <x:c r="G103" s="200" t="n"/>
      <x:c r="H103" s="200" t="n"/>
      <x:c r="I103" s="200" t="n"/>
      <x:c r="J103" s="200" t="n"/>
      <x:c r="K103" s="200" t="n"/>
      <x:c r="L103" s="200" t="n"/>
      <x:c r="M103" s="200" t="n"/>
      <x:c r="N103" s="200" t="n"/>
      <x:c r="O103" s="200" t="n"/>
      <x:c r="P103" s="200" t="n"/>
      <x:c r="Q103" s="200" t="n"/>
      <x:c r="R103" s="200" t="n"/>
      <x:c r="S103" s="200" t="n"/>
      <x:c r="T103" s="200" t="n"/>
      <x:c r="U103" s="200" t="n"/>
      <x:c r="V103" s="200" t="n"/>
      <x:c r="W103" s="200" t="n"/>
      <x:c r="X103" s="200" t="n"/>
      <x:c r="Y103" s="200" t="n"/>
      <x:c r="Z103" s="200" t="n"/>
    </x:row>
    <x:row r="104">
      <x:c r="A104" s="200" t="n"/>
      <x:c r="B104" s="200" t="n"/>
      <x:c r="C104" s="200" t="n"/>
      <x:c r="D104" s="200" t="n"/>
      <x:c r="E104" s="200" t="n"/>
      <x:c r="F104" s="200" t="n"/>
      <x:c r="G104" s="200" t="n"/>
      <x:c r="H104" s="200" t="n"/>
      <x:c r="I104" s="200" t="n"/>
      <x:c r="J104" s="200" t="n"/>
      <x:c r="K104" s="200" t="n"/>
      <x:c r="L104" s="200" t="n"/>
      <x:c r="M104" s="200" t="n"/>
      <x:c r="N104" s="200" t="n"/>
      <x:c r="O104" s="200" t="n"/>
      <x:c r="P104" s="200" t="n"/>
      <x:c r="Q104" s="200" t="n"/>
      <x:c r="R104" s="200" t="n"/>
      <x:c r="S104" s="200" t="n"/>
      <x:c r="T104" s="200" t="n"/>
      <x:c r="U104" s="200" t="n"/>
      <x:c r="V104" s="200" t="n"/>
      <x:c r="W104" s="200" t="n"/>
      <x:c r="X104" s="200" t="n"/>
      <x:c r="Y104" s="200" t="n"/>
      <x:c r="Z104" s="200" t="n"/>
    </x:row>
    <x:row r="105">
      <x:c r="A105" s="200" t="n"/>
      <x:c r="B105" s="200" t="n"/>
      <x:c r="C105" s="200" t="n"/>
      <x:c r="D105" s="200" t="n"/>
      <x:c r="E105" s="200" t="n"/>
      <x:c r="F105" s="200" t="n"/>
      <x:c r="G105" s="200" t="n"/>
      <x:c r="H105" s="200" t="n"/>
      <x:c r="I105" s="200" t="n"/>
      <x:c r="J105" s="200" t="n"/>
      <x:c r="K105" s="200" t="n"/>
      <x:c r="L105" s="200" t="n"/>
      <x:c r="M105" s="200" t="n"/>
      <x:c r="N105" s="200" t="n"/>
      <x:c r="O105" s="200" t="n"/>
      <x:c r="P105" s="200" t="n"/>
      <x:c r="Q105" s="200" t="n"/>
      <x:c r="R105" s="200" t="n"/>
      <x:c r="S105" s="200" t="n"/>
      <x:c r="T105" s="200" t="n"/>
      <x:c r="U105" s="200" t="n"/>
      <x:c r="V105" s="200" t="n"/>
      <x:c r="W105" s="200" t="n"/>
      <x:c r="X105" s="200" t="n"/>
      <x:c r="Y105" s="200" t="n"/>
      <x:c r="Z105" s="200" t="n"/>
    </x:row>
    <x:row r="106">
      <x:c r="A106" s="200" t="n"/>
      <x:c r="B106" s="200" t="n"/>
      <x:c r="C106" s="200" t="n"/>
      <x:c r="D106" s="200" t="n"/>
      <x:c r="E106" s="200" t="n"/>
      <x:c r="F106" s="200" t="n"/>
      <x:c r="G106" s="200" t="n"/>
      <x:c r="H106" s="200" t="n"/>
      <x:c r="I106" s="200" t="n"/>
      <x:c r="J106" s="200" t="n"/>
      <x:c r="K106" s="200" t="n"/>
      <x:c r="L106" s="200" t="n"/>
      <x:c r="M106" s="200" t="n"/>
      <x:c r="N106" s="200" t="n"/>
      <x:c r="O106" s="200" t="n"/>
      <x:c r="P106" s="200" t="n"/>
      <x:c r="Q106" s="200" t="n"/>
      <x:c r="R106" s="200" t="n"/>
      <x:c r="S106" s="200" t="n"/>
      <x:c r="T106" s="200" t="n"/>
      <x:c r="U106" s="200" t="n"/>
      <x:c r="V106" s="200" t="n"/>
      <x:c r="W106" s="200" t="n"/>
      <x:c r="X106" s="200" t="n"/>
      <x:c r="Y106" s="200" t="n"/>
      <x:c r="Z106" s="200" t="n"/>
    </x:row>
    <x:row r="107">
      <x:c r="A107" s="200" t="n"/>
      <x:c r="B107" s="200" t="n"/>
      <x:c r="C107" s="200" t="n"/>
      <x:c r="D107" s="200" t="n"/>
      <x:c r="E107" s="200" t="n"/>
      <x:c r="F107" s="200" t="n"/>
      <x:c r="G107" s="200" t="n"/>
      <x:c r="H107" s="200" t="n"/>
      <x:c r="I107" s="200" t="n"/>
      <x:c r="J107" s="200" t="n"/>
      <x:c r="K107" s="200" t="n"/>
      <x:c r="L107" s="200" t="n"/>
      <x:c r="M107" s="200" t="n"/>
      <x:c r="N107" s="200" t="n"/>
      <x:c r="O107" s="200" t="n"/>
      <x:c r="P107" s="200" t="n"/>
      <x:c r="Q107" s="200" t="n"/>
      <x:c r="R107" s="200" t="n"/>
      <x:c r="S107" s="200" t="n"/>
      <x:c r="T107" s="200" t="n"/>
      <x:c r="U107" s="200" t="n"/>
      <x:c r="V107" s="200" t="n"/>
      <x:c r="W107" s="200" t="n"/>
      <x:c r="X107" s="200" t="n"/>
      <x:c r="Y107" s="200" t="n"/>
      <x:c r="Z107" s="200" t="n"/>
    </x:row>
    <x:row r="108">
      <x:c r="A108" s="200" t="n"/>
      <x:c r="B108" s="200" t="n"/>
      <x:c r="C108" s="200" t="n"/>
      <x:c r="D108" s="200" t="n"/>
      <x:c r="E108" s="200" t="n"/>
      <x:c r="F108" s="200" t="n"/>
      <x:c r="G108" s="200" t="n"/>
      <x:c r="H108" s="200" t="n"/>
      <x:c r="I108" s="200" t="n"/>
      <x:c r="J108" s="200" t="n"/>
      <x:c r="K108" s="200" t="n"/>
      <x:c r="L108" s="200" t="n"/>
      <x:c r="M108" s="200" t="n"/>
      <x:c r="N108" s="200" t="n"/>
      <x:c r="O108" s="200" t="n"/>
      <x:c r="P108" s="200" t="n"/>
      <x:c r="Q108" s="200" t="n"/>
      <x:c r="R108" s="200" t="n"/>
      <x:c r="S108" s="200" t="n"/>
      <x:c r="T108" s="200" t="n"/>
      <x:c r="U108" s="200" t="n"/>
      <x:c r="V108" s="200" t="n"/>
      <x:c r="W108" s="200" t="n"/>
      <x:c r="X108" s="200" t="n"/>
      <x:c r="Y108" s="200" t="n"/>
      <x:c r="Z108" s="200" t="n"/>
    </x:row>
    <x:row r="109">
      <x:c r="A109" s="200" t="n"/>
      <x:c r="B109" s="200" t="n"/>
      <x:c r="C109" s="200" t="n"/>
      <x:c r="D109" s="200" t="n"/>
      <x:c r="E109" s="200" t="n"/>
      <x:c r="F109" s="200" t="n"/>
      <x:c r="G109" s="200" t="n"/>
      <x:c r="H109" s="200" t="n"/>
      <x:c r="I109" s="200" t="n"/>
      <x:c r="J109" s="200" t="n"/>
      <x:c r="K109" s="200" t="n"/>
      <x:c r="L109" s="200" t="n"/>
      <x:c r="M109" s="200" t="n"/>
      <x:c r="N109" s="200" t="n"/>
      <x:c r="O109" s="200" t="n"/>
      <x:c r="P109" s="200" t="n"/>
      <x:c r="Q109" s="200" t="n"/>
      <x:c r="R109" s="200" t="n"/>
      <x:c r="S109" s="200" t="n"/>
      <x:c r="T109" s="200" t="n"/>
      <x:c r="U109" s="200" t="n"/>
      <x:c r="V109" s="200" t="n"/>
      <x:c r="W109" s="200" t="n"/>
      <x:c r="X109" s="200" t="n"/>
      <x:c r="Y109" s="200" t="n"/>
      <x:c r="Z109" s="200" t="n"/>
    </x:row>
    <x:row r="110">
      <x:c r="A110" s="200" t="n"/>
      <x:c r="B110" s="200" t="n"/>
      <x:c r="C110" s="200" t="n"/>
      <x:c r="D110" s="200" t="n"/>
      <x:c r="E110" s="200" t="n"/>
      <x:c r="F110" s="200" t="n"/>
      <x:c r="G110" s="200" t="n"/>
      <x:c r="H110" s="200" t="n"/>
      <x:c r="I110" s="200" t="n"/>
      <x:c r="J110" s="200" t="n"/>
      <x:c r="K110" s="200" t="n"/>
      <x:c r="L110" s="200" t="n"/>
      <x:c r="M110" s="200" t="n"/>
      <x:c r="N110" s="200" t="n"/>
      <x:c r="O110" s="200" t="n"/>
      <x:c r="P110" s="200" t="n"/>
      <x:c r="Q110" s="200" t="n"/>
      <x:c r="R110" s="200" t="n"/>
      <x:c r="S110" s="200" t="n"/>
      <x:c r="T110" s="200" t="n"/>
      <x:c r="U110" s="200" t="n"/>
      <x:c r="V110" s="200" t="n"/>
      <x:c r="W110" s="200" t="n"/>
      <x:c r="X110" s="200" t="n"/>
      <x:c r="Y110" s="200" t="n"/>
      <x:c r="Z110" s="200" t="n"/>
    </x:row>
    <x:row r="111">
      <x:c r="A111" s="200" t="n"/>
      <x:c r="B111" s="200" t="n"/>
      <x:c r="C111" s="200" t="n"/>
      <x:c r="D111" s="200" t="n"/>
      <x:c r="E111" s="200" t="n"/>
      <x:c r="F111" s="200" t="n"/>
      <x:c r="G111" s="200" t="n"/>
      <x:c r="H111" s="200" t="n"/>
      <x:c r="I111" s="200" t="n"/>
      <x:c r="J111" s="200" t="n"/>
      <x:c r="K111" s="200" t="n"/>
      <x:c r="L111" s="200" t="n"/>
      <x:c r="M111" s="200" t="n"/>
      <x:c r="N111" s="200" t="n"/>
      <x:c r="O111" s="200" t="n"/>
      <x:c r="P111" s="200" t="n"/>
      <x:c r="Q111" s="200" t="n"/>
      <x:c r="R111" s="200" t="n"/>
      <x:c r="S111" s="200" t="n"/>
      <x:c r="T111" s="200" t="n"/>
      <x:c r="U111" s="200" t="n"/>
      <x:c r="V111" s="200" t="n"/>
      <x:c r="W111" s="200" t="n"/>
      <x:c r="X111" s="200" t="n"/>
      <x:c r="Y111" s="200" t="n"/>
      <x:c r="Z111" s="200" t="n"/>
    </x:row>
    <x:row r="112">
      <x:c r="A112" s="200" t="n"/>
      <x:c r="B112" s="200" t="n"/>
      <x:c r="C112" s="200" t="n"/>
      <x:c r="D112" s="200" t="n"/>
      <x:c r="E112" s="200" t="n"/>
      <x:c r="F112" s="200" t="n"/>
      <x:c r="G112" s="200" t="n"/>
      <x:c r="H112" s="200" t="n"/>
      <x:c r="I112" s="200" t="n"/>
      <x:c r="J112" s="200" t="n"/>
      <x:c r="K112" s="200" t="n"/>
      <x:c r="L112" s="200" t="n"/>
      <x:c r="M112" s="200" t="n"/>
      <x:c r="N112" s="200" t="n"/>
      <x:c r="O112" s="200" t="n"/>
      <x:c r="P112" s="200" t="n"/>
      <x:c r="Q112" s="200" t="n"/>
      <x:c r="R112" s="200" t="n"/>
      <x:c r="S112" s="200" t="n"/>
      <x:c r="T112" s="200" t="n"/>
      <x:c r="U112" s="200" t="n"/>
      <x:c r="V112" s="200" t="n"/>
      <x:c r="W112" s="200" t="n"/>
      <x:c r="X112" s="200" t="n"/>
      <x:c r="Y112" s="200" t="n"/>
      <x:c r="Z112" s="200" t="n"/>
    </x:row>
    <x:row r="113">
      <x:c r="A113" s="200" t="n"/>
      <x:c r="B113" s="200" t="n"/>
      <x:c r="C113" s="200" t="n"/>
      <x:c r="D113" s="200" t="n"/>
      <x:c r="E113" s="200" t="n"/>
      <x:c r="F113" s="200" t="n"/>
      <x:c r="G113" s="200" t="n"/>
      <x:c r="H113" s="200" t="n"/>
      <x:c r="I113" s="200" t="n"/>
      <x:c r="J113" s="200" t="n"/>
      <x:c r="K113" s="200" t="n"/>
      <x:c r="L113" s="200" t="n"/>
      <x:c r="M113" s="200" t="n"/>
      <x:c r="N113" s="200" t="n"/>
      <x:c r="O113" s="200" t="n"/>
      <x:c r="P113" s="200" t="n"/>
      <x:c r="Q113" s="200" t="n"/>
      <x:c r="R113" s="200" t="n"/>
      <x:c r="S113" s="200" t="n"/>
      <x:c r="T113" s="200" t="n"/>
      <x:c r="U113" s="200" t="n"/>
      <x:c r="V113" s="200" t="n"/>
      <x:c r="W113" s="200" t="n"/>
      <x:c r="X113" s="200" t="n"/>
      <x:c r="Y113" s="200" t="n"/>
      <x:c r="Z113" s="200" t="n"/>
    </x:row>
    <x:row r="114">
      <x:c r="A114" s="200" t="n"/>
      <x:c r="B114" s="200" t="n"/>
      <x:c r="C114" s="200" t="n"/>
      <x:c r="D114" s="200" t="n"/>
      <x:c r="E114" s="200" t="n"/>
      <x:c r="F114" s="200" t="n"/>
      <x:c r="G114" s="200" t="n"/>
      <x:c r="H114" s="200" t="n"/>
      <x:c r="I114" s="200" t="n"/>
      <x:c r="J114" s="200" t="n"/>
      <x:c r="K114" s="200" t="n"/>
      <x:c r="L114" s="200" t="n"/>
      <x:c r="M114" s="200" t="n"/>
      <x:c r="N114" s="200" t="n"/>
      <x:c r="O114" s="200" t="n"/>
      <x:c r="P114" s="200" t="n"/>
      <x:c r="Q114" s="200" t="n"/>
      <x:c r="R114" s="200" t="n"/>
      <x:c r="S114" s="200" t="n"/>
      <x:c r="T114" s="200" t="n"/>
      <x:c r="U114" s="200" t="n"/>
      <x:c r="V114" s="200" t="n"/>
      <x:c r="W114" s="200" t="n"/>
      <x:c r="X114" s="200" t="n"/>
      <x:c r="Y114" s="200" t="n"/>
      <x:c r="Z114" s="200" t="n"/>
    </x:row>
    <x:row r="115">
      <x:c r="A115" s="200" t="n"/>
      <x:c r="B115" s="200" t="n"/>
      <x:c r="C115" s="200" t="n"/>
      <x:c r="D115" s="200" t="n"/>
      <x:c r="E115" s="200" t="n"/>
      <x:c r="F115" s="200" t="n"/>
      <x:c r="G115" s="200" t="n"/>
      <x:c r="H115" s="200" t="n"/>
      <x:c r="I115" s="200" t="n"/>
      <x:c r="J115" s="200" t="n"/>
      <x:c r="K115" s="200" t="n"/>
      <x:c r="L115" s="200" t="n"/>
      <x:c r="M115" s="200" t="n"/>
      <x:c r="N115" s="200" t="n"/>
      <x:c r="O115" s="200" t="n"/>
      <x:c r="P115" s="200" t="n"/>
      <x:c r="Q115" s="200" t="n"/>
      <x:c r="R115" s="200" t="n"/>
      <x:c r="S115" s="200" t="n"/>
      <x:c r="T115" s="200" t="n"/>
      <x:c r="U115" s="200" t="n"/>
      <x:c r="V115" s="200" t="n"/>
      <x:c r="W115" s="200" t="n"/>
      <x:c r="X115" s="200" t="n"/>
      <x:c r="Y115" s="200" t="n"/>
      <x:c r="Z115" s="200" t="n"/>
    </x:row>
    <x:row r="116">
      <x:c r="A116" s="200" t="n"/>
      <x:c r="B116" s="200" t="n"/>
      <x:c r="C116" s="200" t="n"/>
      <x:c r="D116" s="200" t="n"/>
      <x:c r="E116" s="200" t="n"/>
      <x:c r="F116" s="200" t="n"/>
      <x:c r="G116" s="200" t="n"/>
      <x:c r="H116" s="200" t="n"/>
      <x:c r="I116" s="200" t="n"/>
      <x:c r="J116" s="200" t="n"/>
      <x:c r="K116" s="200" t="n"/>
      <x:c r="L116" s="200" t="n"/>
      <x:c r="M116" s="200" t="n"/>
      <x:c r="N116" s="200" t="n"/>
      <x:c r="O116" s="200" t="n"/>
      <x:c r="P116" s="200" t="n"/>
      <x:c r="Q116" s="200" t="n"/>
      <x:c r="R116" s="200" t="n"/>
      <x:c r="S116" s="200" t="n"/>
      <x:c r="T116" s="200" t="n"/>
      <x:c r="U116" s="200" t="n"/>
      <x:c r="V116" s="200" t="n"/>
      <x:c r="W116" s="200" t="n"/>
      <x:c r="X116" s="200" t="n"/>
      <x:c r="Y116" s="200" t="n"/>
      <x:c r="Z116" s="200" t="n"/>
    </x:row>
    <x:row r="117">
      <x:c r="A117" s="200" t="n"/>
      <x:c r="B117" s="200" t="n"/>
      <x:c r="C117" s="200" t="n"/>
      <x:c r="D117" s="200" t="n"/>
      <x:c r="E117" s="200" t="n"/>
      <x:c r="F117" s="200" t="n"/>
      <x:c r="G117" s="200" t="n"/>
      <x:c r="H117" s="200" t="n"/>
      <x:c r="I117" s="200" t="n"/>
      <x:c r="J117" s="200" t="n"/>
      <x:c r="K117" s="200" t="n"/>
      <x:c r="L117" s="200" t="n"/>
      <x:c r="M117" s="200" t="n"/>
      <x:c r="N117" s="200" t="n"/>
      <x:c r="O117" s="200" t="n"/>
      <x:c r="P117" s="200" t="n"/>
      <x:c r="Q117" s="200" t="n"/>
      <x:c r="R117" s="200" t="n"/>
      <x:c r="S117" s="200" t="n"/>
      <x:c r="T117" s="200" t="n"/>
      <x:c r="U117" s="200" t="n"/>
      <x:c r="V117" s="200" t="n"/>
      <x:c r="W117" s="200" t="n"/>
      <x:c r="X117" s="200" t="n"/>
      <x:c r="Y117" s="200" t="n"/>
      <x:c r="Z117" s="200" t="n"/>
    </x:row>
    <x:row r="118">
      <x:c r="A118" s="200" t="n"/>
      <x:c r="B118" s="200" t="n"/>
      <x:c r="C118" s="200" t="n"/>
      <x:c r="D118" s="200" t="n"/>
      <x:c r="E118" s="200" t="n"/>
      <x:c r="F118" s="200" t="n"/>
      <x:c r="G118" s="200" t="n"/>
      <x:c r="H118" s="200" t="n"/>
      <x:c r="I118" s="200" t="n"/>
      <x:c r="J118" s="200" t="n"/>
      <x:c r="K118" s="200" t="n"/>
      <x:c r="L118" s="200" t="n"/>
      <x:c r="M118" s="200" t="n"/>
      <x:c r="N118" s="200" t="n"/>
      <x:c r="O118" s="200" t="n"/>
      <x:c r="P118" s="200" t="n"/>
      <x:c r="Q118" s="200" t="n"/>
      <x:c r="R118" s="200" t="n"/>
      <x:c r="S118" s="200" t="n"/>
      <x:c r="T118" s="200" t="n"/>
      <x:c r="U118" s="200" t="n"/>
      <x:c r="V118" s="200" t="n"/>
      <x:c r="W118" s="200" t="n"/>
      <x:c r="X118" s="200" t="n"/>
      <x:c r="Y118" s="200" t="n"/>
      <x:c r="Z118" s="200" t="n"/>
    </x:row>
    <x:row r="119">
      <x:c r="A119" s="200" t="n"/>
      <x:c r="B119" s="200" t="n"/>
      <x:c r="C119" s="200" t="n"/>
      <x:c r="D119" s="200" t="n"/>
      <x:c r="E119" s="200" t="n"/>
      <x:c r="F119" s="200" t="n"/>
      <x:c r="G119" s="200" t="n"/>
      <x:c r="H119" s="200" t="n"/>
      <x:c r="I119" s="200" t="n"/>
      <x:c r="J119" s="200" t="n"/>
      <x:c r="K119" s="200" t="n"/>
      <x:c r="L119" s="200" t="n"/>
      <x:c r="M119" s="200" t="n"/>
      <x:c r="N119" s="200" t="n"/>
      <x:c r="O119" s="200" t="n"/>
      <x:c r="P119" s="200" t="n"/>
      <x:c r="Q119" s="200" t="n"/>
      <x:c r="R119" s="200" t="n"/>
      <x:c r="S119" s="200" t="n"/>
      <x:c r="T119" s="200" t="n"/>
      <x:c r="U119" s="200" t="n"/>
      <x:c r="V119" s="200" t="n"/>
      <x:c r="W119" s="200" t="n"/>
      <x:c r="X119" s="200" t="n"/>
      <x:c r="Y119" s="200" t="n"/>
      <x:c r="Z119" s="200" t="n"/>
    </x:row>
    <x:row r="120">
      <x:c r="A120" s="200" t="n"/>
      <x:c r="B120" s="200" t="n"/>
      <x:c r="C120" s="200" t="n"/>
      <x:c r="D120" s="200" t="n"/>
      <x:c r="E120" s="200" t="n"/>
      <x:c r="F120" s="200" t="n"/>
      <x:c r="G120" s="200" t="n"/>
      <x:c r="H120" s="200" t="n"/>
      <x:c r="I120" s="200" t="n"/>
      <x:c r="J120" s="200" t="n"/>
      <x:c r="K120" s="200" t="n"/>
      <x:c r="L120" s="200" t="n"/>
      <x:c r="M120" s="200" t="n"/>
      <x:c r="N120" s="200" t="n"/>
      <x:c r="O120" s="200" t="n"/>
      <x:c r="P120" s="200" t="n"/>
      <x:c r="Q120" s="200" t="n"/>
      <x:c r="R120" s="200" t="n"/>
      <x:c r="S120" s="200" t="n"/>
      <x:c r="T120" s="200" t="n"/>
      <x:c r="U120" s="200" t="n"/>
      <x:c r="V120" s="200" t="n"/>
      <x:c r="W120" s="200" t="n"/>
      <x:c r="X120" s="200" t="n"/>
      <x:c r="Y120" s="200" t="n"/>
      <x:c r="Z120" s="200" t="n"/>
    </x:row>
    <x:row r="121">
      <x:c r="A121" s="200" t="n"/>
      <x:c r="B121" s="200" t="n"/>
      <x:c r="C121" s="200" t="n"/>
      <x:c r="D121" s="200" t="n"/>
      <x:c r="E121" s="200" t="n"/>
      <x:c r="F121" s="200" t="n"/>
      <x:c r="G121" s="200" t="n"/>
      <x:c r="H121" s="200" t="n"/>
      <x:c r="I121" s="200" t="n"/>
      <x:c r="J121" s="200" t="n"/>
      <x:c r="K121" s="200" t="n"/>
      <x:c r="L121" s="200" t="n"/>
      <x:c r="M121" s="200" t="n"/>
      <x:c r="N121" s="200" t="n"/>
      <x:c r="O121" s="200" t="n"/>
      <x:c r="P121" s="200" t="n"/>
      <x:c r="Q121" s="200" t="n"/>
      <x:c r="R121" s="200" t="n"/>
      <x:c r="S121" s="200" t="n"/>
      <x:c r="T121" s="200" t="n"/>
      <x:c r="U121" s="200" t="n"/>
      <x:c r="V121" s="200" t="n"/>
      <x:c r="W121" s="200" t="n"/>
      <x:c r="X121" s="200" t="n"/>
      <x:c r="Y121" s="200" t="n"/>
      <x:c r="Z121" s="200" t="n"/>
    </x:row>
    <x:row r="122">
      <x:c r="A122" s="200" t="n"/>
      <x:c r="B122" s="200" t="n"/>
      <x:c r="C122" s="200" t="n"/>
      <x:c r="D122" s="200" t="n"/>
      <x:c r="E122" s="200" t="n"/>
      <x:c r="F122" s="200" t="n"/>
      <x:c r="G122" s="200" t="n"/>
      <x:c r="H122" s="200" t="n"/>
      <x:c r="I122" s="200" t="n"/>
      <x:c r="J122" s="200" t="n"/>
      <x:c r="K122" s="200" t="n"/>
      <x:c r="L122" s="200" t="n"/>
      <x:c r="M122" s="200" t="n"/>
      <x:c r="N122" s="200" t="n"/>
      <x:c r="O122" s="200" t="n"/>
      <x:c r="P122" s="200" t="n"/>
      <x:c r="Q122" s="200" t="n"/>
      <x:c r="R122" s="200" t="n"/>
      <x:c r="S122" s="200" t="n"/>
      <x:c r="T122" s="200" t="n"/>
      <x:c r="U122" s="200" t="n"/>
      <x:c r="V122" s="200" t="n"/>
      <x:c r="W122" s="200" t="n"/>
      <x:c r="X122" s="200" t="n"/>
      <x:c r="Y122" s="200" t="n"/>
      <x:c r="Z122" s="200" t="n"/>
    </x:row>
    <x:row r="123">
      <x:c r="A123" s="200" t="n"/>
      <x:c r="B123" s="200" t="n"/>
      <x:c r="C123" s="200" t="n"/>
      <x:c r="D123" s="200" t="n"/>
      <x:c r="E123" s="200" t="n"/>
      <x:c r="F123" s="200" t="n"/>
      <x:c r="G123" s="200" t="n"/>
      <x:c r="H123" s="200" t="n"/>
      <x:c r="I123" s="200" t="n"/>
      <x:c r="J123" s="200" t="n"/>
      <x:c r="K123" s="200" t="n"/>
      <x:c r="L123" s="200" t="n"/>
      <x:c r="M123" s="200" t="n"/>
      <x:c r="N123" s="200" t="n"/>
      <x:c r="O123" s="200" t="n"/>
      <x:c r="P123" s="200" t="n"/>
      <x:c r="Q123" s="200" t="n"/>
      <x:c r="R123" s="200" t="n"/>
      <x:c r="S123" s="200" t="n"/>
      <x:c r="T123" s="200" t="n"/>
      <x:c r="U123" s="200" t="n"/>
      <x:c r="V123" s="200" t="n"/>
      <x:c r="W123" s="200" t="n"/>
      <x:c r="X123" s="200" t="n"/>
      <x:c r="Y123" s="200" t="n"/>
      <x:c r="Z123" s="200" t="n"/>
    </x:row>
    <x:row r="124">
      <x:c r="A124" s="200" t="n"/>
      <x:c r="B124" s="200" t="n"/>
      <x:c r="C124" s="200" t="n"/>
      <x:c r="D124" s="200" t="n"/>
      <x:c r="E124" s="200" t="n"/>
      <x:c r="F124" s="200" t="n"/>
      <x:c r="G124" s="200" t="n"/>
      <x:c r="H124" s="200" t="n"/>
      <x:c r="I124" s="200" t="n"/>
      <x:c r="J124" s="200" t="n"/>
      <x:c r="K124" s="200" t="n"/>
      <x:c r="L124" s="200" t="n"/>
      <x:c r="M124" s="200" t="n"/>
      <x:c r="N124" s="200" t="n"/>
      <x:c r="O124" s="200" t="n"/>
      <x:c r="P124" s="200" t="n"/>
      <x:c r="Q124" s="200" t="n"/>
      <x:c r="R124" s="200" t="n"/>
      <x:c r="S124" s="200" t="n"/>
      <x:c r="T124" s="200" t="n"/>
      <x:c r="U124" s="200" t="n"/>
      <x:c r="V124" s="200" t="n"/>
      <x:c r="W124" s="200" t="n"/>
      <x:c r="X124" s="200" t="n"/>
      <x:c r="Y124" s="200" t="n"/>
      <x:c r="Z124" s="200" t="n"/>
    </x:row>
    <x:row r="125">
      <x:c r="A125" s="200" t="n"/>
      <x:c r="B125" s="200" t="n"/>
      <x:c r="C125" s="200" t="n"/>
      <x:c r="D125" s="200" t="n"/>
      <x:c r="E125" s="200" t="n"/>
      <x:c r="F125" s="200" t="n"/>
      <x:c r="G125" s="200" t="n"/>
      <x:c r="H125" s="200" t="n"/>
      <x:c r="I125" s="200" t="n"/>
      <x:c r="J125" s="200" t="n"/>
      <x:c r="K125" s="200" t="n"/>
      <x:c r="L125" s="200" t="n"/>
      <x:c r="M125" s="200" t="n"/>
      <x:c r="N125" s="200" t="n"/>
      <x:c r="O125" s="200" t="n"/>
      <x:c r="P125" s="200" t="n"/>
      <x:c r="Q125" s="200" t="n"/>
      <x:c r="R125" s="200" t="n"/>
      <x:c r="S125" s="200" t="n"/>
      <x:c r="T125" s="200" t="n"/>
      <x:c r="U125" s="200" t="n"/>
      <x:c r="V125" s="200" t="n"/>
      <x:c r="W125" s="200" t="n"/>
      <x:c r="X125" s="200" t="n"/>
      <x:c r="Y125" s="200" t="n"/>
      <x:c r="Z125" s="200" t="n"/>
    </x:row>
    <x:row r="126">
      <x:c r="A126" s="200" t="n"/>
      <x:c r="B126" s="200" t="n"/>
      <x:c r="C126" s="200" t="n"/>
      <x:c r="D126" s="200" t="n"/>
      <x:c r="E126" s="200" t="n"/>
      <x:c r="F126" s="200" t="n"/>
      <x:c r="G126" s="200" t="n"/>
      <x:c r="H126" s="200" t="n"/>
      <x:c r="I126" s="200" t="n"/>
      <x:c r="J126" s="200" t="n"/>
      <x:c r="K126" s="200" t="n"/>
      <x:c r="L126" s="200" t="n"/>
      <x:c r="M126" s="200" t="n"/>
      <x:c r="N126" s="200" t="n"/>
      <x:c r="O126" s="200" t="n"/>
      <x:c r="P126" s="200" t="n"/>
      <x:c r="Q126" s="200" t="n"/>
      <x:c r="R126" s="200" t="n"/>
      <x:c r="S126" s="200" t="n"/>
      <x:c r="T126" s="200" t="n"/>
      <x:c r="U126" s="200" t="n"/>
      <x:c r="V126" s="200" t="n"/>
      <x:c r="W126" s="200" t="n"/>
      <x:c r="X126" s="200" t="n"/>
      <x:c r="Y126" s="200" t="n"/>
      <x:c r="Z126" s="200" t="n"/>
    </x:row>
    <x:row r="127">
      <x:c r="A127" s="200" t="n"/>
      <x:c r="B127" s="200" t="n"/>
      <x:c r="C127" s="200" t="n"/>
      <x:c r="D127" s="200" t="n"/>
      <x:c r="E127" s="200" t="n"/>
      <x:c r="F127" s="200" t="n"/>
      <x:c r="G127" s="200" t="n"/>
      <x:c r="H127" s="200" t="n"/>
      <x:c r="I127" s="200" t="n"/>
      <x:c r="J127" s="200" t="n"/>
      <x:c r="K127" s="200" t="n"/>
      <x:c r="L127" s="200" t="n"/>
      <x:c r="M127" s="200" t="n"/>
      <x:c r="N127" s="200" t="n"/>
      <x:c r="O127" s="200" t="n"/>
      <x:c r="P127" s="200" t="n"/>
      <x:c r="Q127" s="200" t="n"/>
      <x:c r="R127" s="200" t="n"/>
      <x:c r="S127" s="200" t="n"/>
      <x:c r="T127" s="200" t="n"/>
      <x:c r="U127" s="200" t="n"/>
      <x:c r="V127" s="200" t="n"/>
      <x:c r="W127" s="200" t="n"/>
      <x:c r="X127" s="200" t="n"/>
      <x:c r="Y127" s="200" t="n"/>
      <x:c r="Z127" s="200" t="n"/>
    </x:row>
    <x:row r="128">
      <x:c r="A128" s="200" t="n"/>
      <x:c r="B128" s="200" t="n"/>
      <x:c r="C128" s="200" t="n"/>
      <x:c r="D128" s="200" t="n"/>
      <x:c r="E128" s="200" t="n"/>
      <x:c r="F128" s="200" t="n"/>
      <x:c r="G128" s="200" t="n"/>
      <x:c r="H128" s="200" t="n"/>
      <x:c r="I128" s="200" t="n"/>
      <x:c r="J128" s="200" t="n"/>
      <x:c r="K128" s="200" t="n"/>
      <x:c r="L128" s="200" t="n"/>
      <x:c r="M128" s="200" t="n"/>
      <x:c r="N128" s="200" t="n"/>
      <x:c r="O128" s="200" t="n"/>
      <x:c r="P128" s="200" t="n"/>
      <x:c r="Q128" s="200" t="n"/>
      <x:c r="R128" s="200" t="n"/>
      <x:c r="S128" s="200" t="n"/>
      <x:c r="T128" s="200" t="n"/>
      <x:c r="U128" s="200" t="n"/>
      <x:c r="V128" s="200" t="n"/>
      <x:c r="W128" s="200" t="n"/>
      <x:c r="X128" s="200" t="n"/>
      <x:c r="Y128" s="200" t="n"/>
      <x:c r="Z128" s="200" t="n"/>
    </x:row>
    <x:row r="129">
      <x:c r="A129" s="200" t="n"/>
      <x:c r="B129" s="200" t="n"/>
      <x:c r="C129" s="200" t="n"/>
      <x:c r="D129" s="200" t="n"/>
      <x:c r="E129" s="200" t="n"/>
      <x:c r="F129" s="200" t="n"/>
      <x:c r="G129" s="200" t="n"/>
      <x:c r="H129" s="200" t="n"/>
      <x:c r="I129" s="200" t="n"/>
      <x:c r="J129" s="200" t="n"/>
      <x:c r="K129" s="200" t="n"/>
      <x:c r="L129" s="200" t="n"/>
      <x:c r="M129" s="200" t="n"/>
      <x:c r="N129" s="200" t="n"/>
      <x:c r="O129" s="200" t="n"/>
      <x:c r="P129" s="200" t="n"/>
      <x:c r="Q129" s="200" t="n"/>
      <x:c r="R129" s="200" t="n"/>
      <x:c r="S129" s="200" t="n"/>
      <x:c r="T129" s="200" t="n"/>
      <x:c r="U129" s="200" t="n"/>
      <x:c r="V129" s="200" t="n"/>
      <x:c r="W129" s="200" t="n"/>
      <x:c r="X129" s="200" t="n"/>
      <x:c r="Y129" s="200" t="n"/>
      <x:c r="Z129" s="200" t="n"/>
    </x:row>
    <x:row r="130">
      <x:c r="A130" s="200" t="n"/>
      <x:c r="B130" s="200" t="n"/>
      <x:c r="C130" s="200" t="n"/>
      <x:c r="D130" s="200" t="n"/>
      <x:c r="E130" s="200" t="n"/>
      <x:c r="F130" s="200" t="n"/>
      <x:c r="G130" s="200" t="n"/>
      <x:c r="H130" s="200" t="n"/>
      <x:c r="I130" s="200" t="n"/>
      <x:c r="J130" s="200" t="n"/>
      <x:c r="K130" s="200" t="n"/>
      <x:c r="L130" s="200" t="n"/>
      <x:c r="M130" s="200" t="n"/>
      <x:c r="N130" s="200" t="n"/>
      <x:c r="O130" s="200" t="n"/>
      <x:c r="P130" s="200" t="n"/>
      <x:c r="Q130" s="200" t="n"/>
      <x:c r="R130" s="200" t="n"/>
      <x:c r="S130" s="200" t="n"/>
      <x:c r="T130" s="200" t="n"/>
      <x:c r="U130" s="200" t="n"/>
      <x:c r="V130" s="200" t="n"/>
      <x:c r="W130" s="200" t="n"/>
      <x:c r="X130" s="200" t="n"/>
      <x:c r="Y130" s="200" t="n"/>
      <x:c r="Z130" s="200" t="n"/>
    </x:row>
    <x:row r="131">
      <x:c r="A131" s="200" t="n"/>
      <x:c r="B131" s="200" t="n"/>
      <x:c r="C131" s="200" t="n"/>
      <x:c r="D131" s="200" t="n"/>
      <x:c r="E131" s="200" t="n"/>
      <x:c r="F131" s="200" t="n"/>
      <x:c r="G131" s="200" t="n"/>
      <x:c r="H131" s="200" t="n"/>
      <x:c r="I131" s="200" t="n"/>
      <x:c r="J131" s="200" t="n"/>
      <x:c r="K131" s="200" t="n"/>
      <x:c r="L131" s="200" t="n"/>
      <x:c r="M131" s="200" t="n"/>
      <x:c r="N131" s="200" t="n"/>
      <x:c r="O131" s="200" t="n"/>
      <x:c r="P131" s="200" t="n"/>
      <x:c r="Q131" s="200" t="n"/>
      <x:c r="R131" s="200" t="n"/>
      <x:c r="S131" s="200" t="n"/>
      <x:c r="T131" s="200" t="n"/>
      <x:c r="U131" s="200" t="n"/>
      <x:c r="V131" s="200" t="n"/>
      <x:c r="W131" s="200" t="n"/>
      <x:c r="X131" s="200" t="n"/>
      <x:c r="Y131" s="200" t="n"/>
      <x:c r="Z131" s="200" t="n"/>
    </x:row>
    <x:row r="132">
      <x:c r="A132" s="200" t="n"/>
      <x:c r="B132" s="200" t="n"/>
      <x:c r="C132" s="200" t="n"/>
      <x:c r="D132" s="200" t="n"/>
      <x:c r="E132" s="200" t="n"/>
      <x:c r="F132" s="200" t="n"/>
      <x:c r="G132" s="200" t="n"/>
      <x:c r="H132" s="200" t="n"/>
      <x:c r="I132" s="200" t="n"/>
      <x:c r="J132" s="200" t="n"/>
      <x:c r="K132" s="200" t="n"/>
      <x:c r="L132" s="200" t="n"/>
      <x:c r="M132" s="200" t="n"/>
      <x:c r="N132" s="200" t="n"/>
      <x:c r="O132" s="200" t="n"/>
      <x:c r="P132" s="200" t="n"/>
      <x:c r="Q132" s="200" t="n"/>
      <x:c r="R132" s="200" t="n"/>
      <x:c r="S132" s="200" t="n"/>
      <x:c r="T132" s="200" t="n"/>
      <x:c r="U132" s="200" t="n"/>
      <x:c r="V132" s="200" t="n"/>
      <x:c r="W132" s="200" t="n"/>
      <x:c r="X132" s="200" t="n"/>
      <x:c r="Y132" s="200" t="n"/>
      <x:c r="Z132" s="200" t="n"/>
    </x:row>
    <x:row r="133">
      <x:c r="A133" s="200" t="n"/>
      <x:c r="B133" s="200" t="n"/>
      <x:c r="C133" s="200" t="n"/>
      <x:c r="D133" s="200" t="n"/>
      <x:c r="E133" s="200" t="n"/>
      <x:c r="F133" s="200" t="n"/>
      <x:c r="G133" s="200" t="n"/>
      <x:c r="H133" s="200" t="n"/>
      <x:c r="I133" s="200" t="n"/>
      <x:c r="J133" s="200" t="n"/>
      <x:c r="K133" s="200" t="n"/>
      <x:c r="L133" s="200" t="n"/>
      <x:c r="M133" s="200" t="n"/>
      <x:c r="N133" s="200" t="n"/>
      <x:c r="O133" s="200" t="n"/>
      <x:c r="P133" s="200" t="n"/>
      <x:c r="Q133" s="200" t="n"/>
      <x:c r="R133" s="200" t="n"/>
      <x:c r="S133" s="200" t="n"/>
      <x:c r="T133" s="200" t="n"/>
      <x:c r="U133" s="200" t="n"/>
      <x:c r="V133" s="200" t="n"/>
      <x:c r="W133" s="200" t="n"/>
      <x:c r="X133" s="200" t="n"/>
      <x:c r="Y133" s="200" t="n"/>
      <x:c r="Z133" s="200" t="n"/>
    </x:row>
    <x:row r="134">
      <x:c r="A134" s="200" t="n"/>
      <x:c r="B134" s="200" t="n"/>
      <x:c r="C134" s="200" t="n"/>
      <x:c r="D134" s="200" t="n"/>
      <x:c r="E134" s="200" t="n"/>
      <x:c r="F134" s="200" t="n"/>
      <x:c r="G134" s="200" t="n"/>
      <x:c r="H134" s="200" t="n"/>
      <x:c r="I134" s="200" t="n"/>
      <x:c r="J134" s="200" t="n"/>
      <x:c r="K134" s="200" t="n"/>
      <x:c r="L134" s="200" t="n"/>
      <x:c r="M134" s="200" t="n"/>
      <x:c r="N134" s="200" t="n"/>
      <x:c r="O134" s="200" t="n"/>
      <x:c r="P134" s="200" t="n"/>
      <x:c r="Q134" s="200" t="n"/>
      <x:c r="R134" s="200" t="n"/>
      <x:c r="S134" s="200" t="n"/>
      <x:c r="T134" s="200" t="n"/>
      <x:c r="U134" s="200" t="n"/>
      <x:c r="V134" s="200" t="n"/>
      <x:c r="W134" s="200" t="n"/>
      <x:c r="X134" s="200" t="n"/>
      <x:c r="Y134" s="200" t="n"/>
      <x:c r="Z134" s="200" t="n"/>
    </x:row>
    <x:row r="135">
      <x:c r="A135" s="200" t="n"/>
      <x:c r="B135" s="200" t="n"/>
      <x:c r="C135" s="200" t="n"/>
      <x:c r="D135" s="200" t="n"/>
      <x:c r="E135" s="200" t="n"/>
      <x:c r="F135" s="200" t="n"/>
      <x:c r="G135" s="200" t="n"/>
      <x:c r="H135" s="200" t="n"/>
      <x:c r="I135" s="200" t="n"/>
      <x:c r="J135" s="200" t="n"/>
      <x:c r="K135" s="200" t="n"/>
      <x:c r="L135" s="200" t="n"/>
      <x:c r="M135" s="200" t="n"/>
      <x:c r="N135" s="200" t="n"/>
      <x:c r="O135" s="200" t="n"/>
      <x:c r="P135" s="200" t="n"/>
      <x:c r="Q135" s="200" t="n"/>
      <x:c r="R135" s="200" t="n"/>
      <x:c r="S135" s="200" t="n"/>
      <x:c r="T135" s="200" t="n"/>
      <x:c r="U135" s="200" t="n"/>
      <x:c r="V135" s="200" t="n"/>
      <x:c r="W135" s="200" t="n"/>
      <x:c r="X135" s="200" t="n"/>
      <x:c r="Y135" s="200" t="n"/>
      <x:c r="Z135" s="200" t="n"/>
    </x:row>
    <x:row r="136">
      <x:c r="A136" s="200" t="n"/>
      <x:c r="B136" s="200" t="n"/>
      <x:c r="C136" s="200" t="n"/>
      <x:c r="D136" s="200" t="n"/>
      <x:c r="E136" s="200" t="n"/>
      <x:c r="F136" s="200" t="n"/>
      <x:c r="G136" s="200" t="n"/>
      <x:c r="H136" s="200" t="n"/>
      <x:c r="I136" s="200" t="n"/>
      <x:c r="J136" s="200" t="n"/>
      <x:c r="K136" s="200" t="n"/>
      <x:c r="L136" s="200" t="n"/>
      <x:c r="M136" s="200" t="n"/>
      <x:c r="N136" s="200" t="n"/>
      <x:c r="O136" s="200" t="n"/>
      <x:c r="P136" s="200" t="n"/>
      <x:c r="Q136" s="200" t="n"/>
      <x:c r="R136" s="200" t="n"/>
      <x:c r="S136" s="200" t="n"/>
      <x:c r="T136" s="200" t="n"/>
      <x:c r="U136" s="200" t="n"/>
      <x:c r="V136" s="200" t="n"/>
      <x:c r="W136" s="200" t="n"/>
      <x:c r="X136" s="200" t="n"/>
      <x:c r="Y136" s="200" t="n"/>
      <x:c r="Z136" s="200" t="n"/>
    </x:row>
    <x:row r="137">
      <x:c r="A137" s="200" t="n"/>
      <x:c r="B137" s="200" t="n"/>
      <x:c r="C137" s="200" t="n"/>
      <x:c r="D137" s="200" t="n"/>
      <x:c r="E137" s="200" t="n"/>
      <x:c r="F137" s="200" t="n"/>
      <x:c r="G137" s="200" t="n"/>
      <x:c r="H137" s="200" t="n"/>
      <x:c r="I137" s="200" t="n"/>
      <x:c r="J137" s="200" t="n"/>
      <x:c r="K137" s="200" t="n"/>
      <x:c r="L137" s="200" t="n"/>
      <x:c r="M137" s="200" t="n"/>
      <x:c r="N137" s="200" t="n"/>
      <x:c r="O137" s="200" t="n"/>
      <x:c r="P137" s="200" t="n"/>
      <x:c r="Q137" s="200" t="n"/>
      <x:c r="R137" s="200" t="n"/>
      <x:c r="S137" s="200" t="n"/>
      <x:c r="T137" s="200" t="n"/>
      <x:c r="U137" s="200" t="n"/>
      <x:c r="V137" s="200" t="n"/>
      <x:c r="W137" s="200" t="n"/>
      <x:c r="X137" s="200" t="n"/>
      <x:c r="Y137" s="200" t="n"/>
      <x:c r="Z137" s="200" t="n"/>
    </x:row>
    <x:row r="138">
      <x:c r="A138" s="200" t="n"/>
      <x:c r="B138" s="200" t="n"/>
      <x:c r="C138" s="200" t="n"/>
      <x:c r="D138" s="200" t="n"/>
      <x:c r="E138" s="200" t="n"/>
      <x:c r="F138" s="200" t="n"/>
      <x:c r="G138" s="200" t="n"/>
      <x:c r="H138" s="200" t="n"/>
      <x:c r="I138" s="200" t="n"/>
      <x:c r="J138" s="200" t="n"/>
      <x:c r="K138" s="200" t="n"/>
      <x:c r="L138" s="200" t="n"/>
      <x:c r="M138" s="200" t="n"/>
      <x:c r="N138" s="200" t="n"/>
      <x:c r="O138" s="200" t="n"/>
      <x:c r="P138" s="200" t="n"/>
      <x:c r="Q138" s="200" t="n"/>
      <x:c r="R138" s="200" t="n"/>
      <x:c r="S138" s="200" t="n"/>
      <x:c r="T138" s="200" t="n"/>
      <x:c r="U138" s="200" t="n"/>
      <x:c r="V138" s="200" t="n"/>
      <x:c r="W138" s="200" t="n"/>
      <x:c r="X138" s="200" t="n"/>
      <x:c r="Y138" s="200" t="n"/>
      <x:c r="Z138" s="200" t="n"/>
    </x:row>
    <x:row r="139">
      <x:c r="A139" s="200" t="n"/>
      <x:c r="B139" s="200" t="n"/>
      <x:c r="C139" s="200" t="n"/>
      <x:c r="D139" s="200" t="n"/>
      <x:c r="E139" s="200" t="n"/>
      <x:c r="F139" s="200" t="n"/>
      <x:c r="G139" s="200" t="n"/>
      <x:c r="H139" s="200" t="n"/>
      <x:c r="I139" s="200" t="n"/>
      <x:c r="J139" s="200" t="n"/>
      <x:c r="K139" s="200" t="n"/>
      <x:c r="L139" s="200" t="n"/>
      <x:c r="M139" s="200" t="n"/>
      <x:c r="N139" s="200" t="n"/>
      <x:c r="O139" s="200" t="n"/>
      <x:c r="P139" s="200" t="n"/>
      <x:c r="Q139" s="200" t="n"/>
      <x:c r="R139" s="200" t="n"/>
      <x:c r="S139" s="200" t="n"/>
      <x:c r="T139" s="200" t="n"/>
      <x:c r="U139" s="200" t="n"/>
      <x:c r="V139" s="200" t="n"/>
      <x:c r="W139" s="200" t="n"/>
      <x:c r="X139" s="200" t="n"/>
      <x:c r="Y139" s="200" t="n"/>
      <x:c r="Z139" s="200" t="n"/>
    </x:row>
    <x:row r="140">
      <x:c r="A140" s="200" t="n"/>
      <x:c r="B140" s="200" t="n"/>
      <x:c r="C140" s="200" t="n"/>
      <x:c r="D140" s="200" t="n"/>
      <x:c r="E140" s="200" t="n"/>
      <x:c r="F140" s="200" t="n"/>
      <x:c r="G140" s="200" t="n"/>
      <x:c r="H140" s="200" t="n"/>
      <x:c r="I140" s="200" t="n"/>
      <x:c r="J140" s="200" t="n"/>
      <x:c r="K140" s="200" t="n"/>
      <x:c r="L140" s="200" t="n"/>
      <x:c r="M140" s="200" t="n"/>
      <x:c r="N140" s="200" t="n"/>
      <x:c r="O140" s="200" t="n"/>
      <x:c r="P140" s="200" t="n"/>
      <x:c r="Q140" s="200" t="n"/>
      <x:c r="R140" s="200" t="n"/>
      <x:c r="S140" s="200" t="n"/>
      <x:c r="T140" s="200" t="n"/>
      <x:c r="U140" s="200" t="n"/>
      <x:c r="V140" s="200" t="n"/>
      <x:c r="W140" s="200" t="n"/>
      <x:c r="X140" s="200" t="n"/>
      <x:c r="Y140" s="200" t="n"/>
      <x:c r="Z140" s="200" t="n"/>
    </x:row>
    <x:row r="141">
      <x:c r="A141" s="200" t="n"/>
      <x:c r="B141" s="200" t="n"/>
      <x:c r="C141" s="200" t="n"/>
      <x:c r="D141" s="200" t="n"/>
      <x:c r="E141" s="200" t="n"/>
      <x:c r="F141" s="200" t="n"/>
      <x:c r="G141" s="200" t="n"/>
      <x:c r="H141" s="200" t="n"/>
      <x:c r="I141" s="200" t="n"/>
      <x:c r="J141" s="200" t="n"/>
      <x:c r="K141" s="200" t="n"/>
      <x:c r="L141" s="200" t="n"/>
      <x:c r="M141" s="200" t="n"/>
      <x:c r="N141" s="200" t="n"/>
      <x:c r="O141" s="200" t="n"/>
      <x:c r="P141" s="200" t="n"/>
      <x:c r="Q141" s="200" t="n"/>
      <x:c r="R141" s="200" t="n"/>
      <x:c r="S141" s="200" t="n"/>
      <x:c r="T141" s="200" t="n"/>
      <x:c r="U141" s="200" t="n"/>
      <x:c r="V141" s="200" t="n"/>
      <x:c r="W141" s="200" t="n"/>
      <x:c r="X141" s="200" t="n"/>
      <x:c r="Y141" s="200" t="n"/>
      <x:c r="Z141" s="200" t="n"/>
    </x:row>
    <x:row r="142">
      <x:c r="A142" s="200" t="n"/>
      <x:c r="B142" s="200" t="n"/>
      <x:c r="C142" s="200" t="n"/>
      <x:c r="D142" s="200" t="n"/>
      <x:c r="E142" s="200" t="n"/>
      <x:c r="F142" s="200" t="n"/>
      <x:c r="G142" s="200" t="n"/>
      <x:c r="H142" s="200" t="n"/>
      <x:c r="I142" s="200" t="n"/>
      <x:c r="J142" s="200" t="n"/>
      <x:c r="K142" s="200" t="n"/>
      <x:c r="L142" s="200" t="n"/>
      <x:c r="M142" s="200" t="n"/>
      <x:c r="N142" s="200" t="n"/>
      <x:c r="O142" s="200" t="n"/>
      <x:c r="P142" s="200" t="n"/>
      <x:c r="Q142" s="200" t="n"/>
      <x:c r="R142" s="200" t="n"/>
      <x:c r="S142" s="200" t="n"/>
      <x:c r="T142" s="200" t="n"/>
      <x:c r="U142" s="200" t="n"/>
      <x:c r="V142" s="200" t="n"/>
      <x:c r="W142" s="200" t="n"/>
      <x:c r="X142" s="200" t="n"/>
      <x:c r="Y142" s="200" t="n"/>
      <x:c r="Z142" s="200" t="n"/>
    </x:row>
    <x:row r="143">
      <x:c r="A143" s="200" t="n"/>
      <x:c r="B143" s="200" t="n"/>
      <x:c r="C143" s="200" t="n"/>
      <x:c r="D143" s="200" t="n"/>
      <x:c r="E143" s="200" t="n"/>
      <x:c r="F143" s="200" t="n"/>
      <x:c r="G143" s="200" t="n"/>
      <x:c r="H143" s="200" t="n"/>
      <x:c r="I143" s="200" t="n"/>
      <x:c r="J143" s="200" t="n"/>
      <x:c r="K143" s="200" t="n"/>
      <x:c r="L143" s="200" t="n"/>
      <x:c r="M143" s="200" t="n"/>
      <x:c r="N143" s="200" t="n"/>
      <x:c r="O143" s="200" t="n"/>
      <x:c r="P143" s="200" t="n"/>
      <x:c r="Q143" s="200" t="n"/>
      <x:c r="R143" s="200" t="n"/>
      <x:c r="S143" s="200" t="n"/>
      <x:c r="T143" s="200" t="n"/>
      <x:c r="U143" s="200" t="n"/>
      <x:c r="V143" s="200" t="n"/>
      <x:c r="W143" s="200" t="n"/>
      <x:c r="X143" s="200" t="n"/>
      <x:c r="Y143" s="200" t="n"/>
      <x:c r="Z143" s="200" t="n"/>
    </x:row>
    <x:row r="144">
      <x:c r="A144" s="200" t="n"/>
      <x:c r="B144" s="200" t="n"/>
      <x:c r="C144" s="200" t="n"/>
      <x:c r="D144" s="200" t="n"/>
      <x:c r="E144" s="200" t="n"/>
      <x:c r="F144" s="200" t="n"/>
      <x:c r="G144" s="200" t="n"/>
      <x:c r="H144" s="200" t="n"/>
      <x:c r="I144" s="200" t="n"/>
      <x:c r="J144" s="200" t="n"/>
      <x:c r="K144" s="200" t="n"/>
      <x:c r="L144" s="200" t="n"/>
      <x:c r="M144" s="200" t="n"/>
      <x:c r="N144" s="200" t="n"/>
      <x:c r="O144" s="200" t="n"/>
      <x:c r="P144" s="200" t="n"/>
      <x:c r="Q144" s="200" t="n"/>
      <x:c r="R144" s="200" t="n"/>
      <x:c r="S144" s="200" t="n"/>
      <x:c r="T144" s="200" t="n"/>
      <x:c r="U144" s="200" t="n"/>
      <x:c r="V144" s="200" t="n"/>
      <x:c r="W144" s="200" t="n"/>
      <x:c r="X144" s="200" t="n"/>
      <x:c r="Y144" s="200" t="n"/>
      <x:c r="Z144" s="200" t="n"/>
    </x:row>
    <x:row r="145">
      <x:c r="A145" s="200" t="n"/>
      <x:c r="B145" s="200" t="n"/>
      <x:c r="C145" s="200" t="n"/>
      <x:c r="D145" s="200" t="n"/>
      <x:c r="E145" s="200" t="n"/>
      <x:c r="F145" s="200" t="n"/>
      <x:c r="G145" s="200" t="n"/>
      <x:c r="H145" s="200" t="n"/>
      <x:c r="I145" s="200" t="n"/>
      <x:c r="J145" s="200" t="n"/>
      <x:c r="K145" s="200" t="n"/>
      <x:c r="L145" s="200" t="n"/>
      <x:c r="M145" s="200" t="n"/>
      <x:c r="N145" s="200" t="n"/>
      <x:c r="O145" s="200" t="n"/>
      <x:c r="P145" s="200" t="n"/>
      <x:c r="Q145" s="200" t="n"/>
      <x:c r="R145" s="200" t="n"/>
      <x:c r="S145" s="200" t="n"/>
      <x:c r="T145" s="200" t="n"/>
      <x:c r="U145" s="200" t="n"/>
      <x:c r="V145" s="200" t="n"/>
      <x:c r="W145" s="200" t="n"/>
      <x:c r="X145" s="200" t="n"/>
      <x:c r="Y145" s="200" t="n"/>
      <x:c r="Z145" s="200" t="n"/>
    </x:row>
    <x:row r="146">
      <x:c r="A146" s="200" t="n"/>
      <x:c r="B146" s="200" t="n"/>
      <x:c r="C146" s="200" t="n"/>
      <x:c r="D146" s="200" t="n"/>
      <x:c r="E146" s="200" t="n"/>
      <x:c r="F146" s="200" t="n"/>
      <x:c r="G146" s="200" t="n"/>
      <x:c r="H146" s="200" t="n"/>
      <x:c r="I146" s="200" t="n"/>
      <x:c r="J146" s="200" t="n"/>
      <x:c r="K146" s="200" t="n"/>
      <x:c r="L146" s="200" t="n"/>
      <x:c r="M146" s="200" t="n"/>
      <x:c r="N146" s="200" t="n"/>
      <x:c r="O146" s="200" t="n"/>
      <x:c r="P146" s="200" t="n"/>
      <x:c r="Q146" s="200" t="n"/>
      <x:c r="R146" s="200" t="n"/>
      <x:c r="S146" s="200" t="n"/>
      <x:c r="T146" s="200" t="n"/>
      <x:c r="U146" s="200" t="n"/>
      <x:c r="V146" s="200" t="n"/>
      <x:c r="W146" s="200" t="n"/>
      <x:c r="X146" s="200" t="n"/>
      <x:c r="Y146" s="200" t="n"/>
      <x:c r="Z146" s="200" t="n"/>
    </x:row>
    <x:row r="147">
      <x:c r="A147" s="200" t="n"/>
      <x:c r="B147" s="200" t="n"/>
      <x:c r="C147" s="200" t="n"/>
      <x:c r="D147" s="200" t="n"/>
      <x:c r="E147" s="200" t="n"/>
      <x:c r="F147" s="200" t="n"/>
      <x:c r="G147" s="200" t="n"/>
      <x:c r="H147" s="200" t="n"/>
      <x:c r="I147" s="200" t="n"/>
      <x:c r="J147" s="200" t="n"/>
      <x:c r="K147" s="200" t="n"/>
      <x:c r="L147" s="200" t="n"/>
      <x:c r="M147" s="200" t="n"/>
      <x:c r="N147" s="200" t="n"/>
      <x:c r="O147" s="200" t="n"/>
      <x:c r="P147" s="200" t="n"/>
      <x:c r="Q147" s="200" t="n"/>
      <x:c r="R147" s="200" t="n"/>
      <x:c r="S147" s="200" t="n"/>
      <x:c r="T147" s="200" t="n"/>
      <x:c r="U147" s="200" t="n"/>
      <x:c r="V147" s="200" t="n"/>
      <x:c r="W147" s="200" t="n"/>
      <x:c r="X147" s="200" t="n"/>
      <x:c r="Y147" s="200" t="n"/>
      <x:c r="Z147" s="200" t="n"/>
    </x:row>
    <x:row r="148">
      <x:c r="A148" s="200" t="n"/>
      <x:c r="B148" s="200" t="n"/>
      <x:c r="C148" s="200" t="n"/>
      <x:c r="D148" s="200" t="n"/>
      <x:c r="E148" s="200" t="n"/>
      <x:c r="F148" s="200" t="n"/>
      <x:c r="G148" s="200" t="n"/>
      <x:c r="H148" s="200" t="n"/>
      <x:c r="I148" s="200" t="n"/>
      <x:c r="J148" s="200" t="n"/>
      <x:c r="K148" s="200" t="n"/>
      <x:c r="L148" s="200" t="n"/>
      <x:c r="M148" s="200" t="n"/>
      <x:c r="N148" s="200" t="n"/>
      <x:c r="O148" s="200" t="n"/>
      <x:c r="P148" s="200" t="n"/>
      <x:c r="Q148" s="200" t="n"/>
      <x:c r="R148" s="200" t="n"/>
      <x:c r="S148" s="200" t="n"/>
      <x:c r="T148" s="200" t="n"/>
      <x:c r="U148" s="200" t="n"/>
      <x:c r="V148" s="200" t="n"/>
      <x:c r="W148" s="200" t="n"/>
      <x:c r="X148" s="200" t="n"/>
      <x:c r="Y148" s="200" t="n"/>
      <x:c r="Z148" s="200" t="n"/>
    </x:row>
    <x:row r="149">
      <x:c r="A149" s="200" t="n"/>
      <x:c r="B149" s="200" t="n"/>
      <x:c r="C149" s="200" t="n"/>
      <x:c r="D149" s="200" t="n"/>
      <x:c r="E149" s="200" t="n"/>
      <x:c r="F149" s="200" t="n"/>
      <x:c r="G149" s="200" t="n"/>
      <x:c r="H149" s="200" t="n"/>
      <x:c r="I149" s="200" t="n"/>
      <x:c r="J149" s="200" t="n"/>
      <x:c r="K149" s="200" t="n"/>
      <x:c r="L149" s="200" t="n"/>
      <x:c r="M149" s="200" t="n"/>
      <x:c r="N149" s="200" t="n"/>
      <x:c r="O149" s="200" t="n"/>
      <x:c r="P149" s="200" t="n"/>
      <x:c r="Q149" s="200" t="n"/>
      <x:c r="R149" s="200" t="n"/>
      <x:c r="S149" s="200" t="n"/>
      <x:c r="T149" s="200" t="n"/>
      <x:c r="U149" s="200" t="n"/>
      <x:c r="V149" s="200" t="n"/>
      <x:c r="W149" s="200" t="n"/>
      <x:c r="X149" s="200" t="n"/>
      <x:c r="Y149" s="200" t="n"/>
      <x:c r="Z149" s="200" t="n"/>
    </x:row>
    <x:row r="150">
      <x:c r="A150" s="200" t="n"/>
      <x:c r="B150" s="200" t="n"/>
      <x:c r="C150" s="200" t="n"/>
      <x:c r="D150" s="200" t="n"/>
      <x:c r="E150" s="200" t="n"/>
      <x:c r="F150" s="200" t="n"/>
      <x:c r="G150" s="200" t="n"/>
      <x:c r="H150" s="200" t="n"/>
      <x:c r="I150" s="200" t="n"/>
      <x:c r="J150" s="200" t="n"/>
      <x:c r="K150" s="200" t="n"/>
      <x:c r="L150" s="200" t="n"/>
      <x:c r="M150" s="200" t="n"/>
      <x:c r="N150" s="200" t="n"/>
      <x:c r="O150" s="200" t="n"/>
      <x:c r="P150" s="200" t="n"/>
      <x:c r="Q150" s="200" t="n"/>
      <x:c r="R150" s="200" t="n"/>
      <x:c r="S150" s="200" t="n"/>
      <x:c r="T150" s="200" t="n"/>
      <x:c r="U150" s="200" t="n"/>
      <x:c r="V150" s="200" t="n"/>
      <x:c r="W150" s="200" t="n"/>
      <x:c r="X150" s="200" t="n"/>
      <x:c r="Y150" s="200" t="n"/>
      <x:c r="Z150" s="200" t="n"/>
    </x:row>
    <x:row r="151">
      <x:c r="A151" s="200" t="n"/>
      <x:c r="B151" s="200" t="n"/>
      <x:c r="C151" s="200" t="n"/>
      <x:c r="D151" s="200" t="n"/>
      <x:c r="E151" s="200" t="n"/>
      <x:c r="F151" s="200" t="n"/>
      <x:c r="G151" s="200" t="n"/>
      <x:c r="H151" s="200" t="n"/>
      <x:c r="I151" s="200" t="n"/>
      <x:c r="J151" s="200" t="n"/>
      <x:c r="K151" s="200" t="n"/>
      <x:c r="L151" s="200" t="n"/>
      <x:c r="M151" s="200" t="n"/>
      <x:c r="N151" s="200" t="n"/>
      <x:c r="O151" s="200" t="n"/>
      <x:c r="P151" s="200" t="n"/>
      <x:c r="Q151" s="200" t="n"/>
      <x:c r="R151" s="200" t="n"/>
      <x:c r="S151" s="200" t="n"/>
      <x:c r="T151" s="200" t="n"/>
      <x:c r="U151" s="200" t="n"/>
      <x:c r="V151" s="200" t="n"/>
      <x:c r="W151" s="200" t="n"/>
      <x:c r="X151" s="200" t="n"/>
      <x:c r="Y151" s="200" t="n"/>
      <x:c r="Z151" s="200" t="n"/>
    </x:row>
    <x:row r="152">
      <x:c r="A152" s="200" t="n"/>
      <x:c r="B152" s="200" t="n"/>
      <x:c r="C152" s="200" t="n"/>
      <x:c r="D152" s="200" t="n"/>
      <x:c r="E152" s="200" t="n"/>
      <x:c r="F152" s="200" t="n"/>
      <x:c r="G152" s="200" t="n"/>
      <x:c r="H152" s="200" t="n"/>
      <x:c r="I152" s="200" t="n"/>
      <x:c r="J152" s="200" t="n"/>
      <x:c r="K152" s="200" t="n"/>
      <x:c r="L152" s="200" t="n"/>
      <x:c r="M152" s="200" t="n"/>
      <x:c r="N152" s="200" t="n"/>
      <x:c r="O152" s="200" t="n"/>
      <x:c r="P152" s="200" t="n"/>
      <x:c r="Q152" s="200" t="n"/>
      <x:c r="R152" s="200" t="n"/>
      <x:c r="S152" s="200" t="n"/>
      <x:c r="T152" s="200" t="n"/>
      <x:c r="U152" s="200" t="n"/>
      <x:c r="V152" s="200" t="n"/>
      <x:c r="W152" s="200" t="n"/>
      <x:c r="X152" s="200" t="n"/>
      <x:c r="Y152" s="200" t="n"/>
      <x:c r="Z152" s="200" t="n"/>
    </x:row>
    <x:row r="153">
      <x:c r="A153" s="200" t="n"/>
      <x:c r="B153" s="200" t="n"/>
      <x:c r="C153" s="200" t="n"/>
      <x:c r="D153" s="200" t="n"/>
      <x:c r="E153" s="200" t="n"/>
      <x:c r="F153" s="200" t="n"/>
      <x:c r="G153" s="200" t="n"/>
      <x:c r="H153" s="200" t="n"/>
      <x:c r="I153" s="200" t="n"/>
      <x:c r="J153" s="200" t="n"/>
      <x:c r="K153" s="200" t="n"/>
      <x:c r="L153" s="200" t="n"/>
      <x:c r="M153" s="200" t="n"/>
      <x:c r="N153" s="200" t="n"/>
      <x:c r="O153" s="200" t="n"/>
      <x:c r="P153" s="200" t="n"/>
      <x:c r="Q153" s="200" t="n"/>
      <x:c r="R153" s="200" t="n"/>
      <x:c r="S153" s="200" t="n"/>
      <x:c r="T153" s="200" t="n"/>
      <x:c r="U153" s="200" t="n"/>
      <x:c r="V153" s="200" t="n"/>
      <x:c r="W153" s="200" t="n"/>
      <x:c r="X153" s="200" t="n"/>
      <x:c r="Y153" s="200" t="n"/>
      <x:c r="Z153" s="200" t="n"/>
    </x:row>
    <x:row r="154">
      <x:c r="A154" s="200" t="n"/>
      <x:c r="B154" s="200" t="n"/>
      <x:c r="C154" s="200" t="n"/>
      <x:c r="D154" s="200" t="n"/>
      <x:c r="E154" s="200" t="n"/>
      <x:c r="F154" s="200" t="n"/>
      <x:c r="G154" s="200" t="n"/>
      <x:c r="H154" s="200" t="n"/>
      <x:c r="I154" s="200" t="n"/>
      <x:c r="J154" s="200" t="n"/>
      <x:c r="K154" s="200" t="n"/>
      <x:c r="L154" s="200" t="n"/>
      <x:c r="M154" s="200" t="n"/>
      <x:c r="N154" s="200" t="n"/>
      <x:c r="O154" s="200" t="n"/>
      <x:c r="P154" s="200" t="n"/>
      <x:c r="Q154" s="200" t="n"/>
      <x:c r="R154" s="200" t="n"/>
      <x:c r="S154" s="200" t="n"/>
      <x:c r="T154" s="200" t="n"/>
      <x:c r="U154" s="200" t="n"/>
      <x:c r="V154" s="200" t="n"/>
      <x:c r="W154" s="200" t="n"/>
      <x:c r="X154" s="200" t="n"/>
      <x:c r="Y154" s="200" t="n"/>
      <x:c r="Z154" s="200" t="n"/>
    </x:row>
    <x:row r="155">
      <x:c r="A155" s="200" t="n"/>
      <x:c r="B155" s="200" t="n"/>
      <x:c r="C155" s="200" t="n"/>
      <x:c r="D155" s="200" t="n"/>
      <x:c r="E155" s="200" t="n"/>
      <x:c r="F155" s="200" t="n"/>
      <x:c r="G155" s="200" t="n"/>
      <x:c r="H155" s="200" t="n"/>
      <x:c r="I155" s="200" t="n"/>
      <x:c r="J155" s="200" t="n"/>
      <x:c r="K155" s="200" t="n"/>
      <x:c r="L155" s="200" t="n"/>
      <x:c r="M155" s="200" t="n"/>
      <x:c r="N155" s="200" t="n"/>
      <x:c r="O155" s="200" t="n"/>
      <x:c r="P155" s="200" t="n"/>
      <x:c r="Q155" s="200" t="n"/>
      <x:c r="R155" s="200" t="n"/>
      <x:c r="S155" s="200" t="n"/>
      <x:c r="T155" s="200" t="n"/>
      <x:c r="U155" s="200" t="n"/>
      <x:c r="V155" s="200" t="n"/>
      <x:c r="W155" s="200" t="n"/>
      <x:c r="X155" s="200" t="n"/>
      <x:c r="Y155" s="200" t="n"/>
      <x:c r="Z155" s="200" t="n"/>
    </x:row>
    <x:row r="156">
      <x:c r="A156" s="200" t="n"/>
      <x:c r="B156" s="200" t="n"/>
      <x:c r="C156" s="200" t="n"/>
      <x:c r="D156" s="200" t="n"/>
      <x:c r="E156" s="200" t="n"/>
      <x:c r="F156" s="200" t="n"/>
      <x:c r="G156" s="200" t="n"/>
      <x:c r="H156" s="200" t="n"/>
      <x:c r="I156" s="200" t="n"/>
      <x:c r="J156" s="200" t="n"/>
      <x:c r="K156" s="200" t="n"/>
      <x:c r="L156" s="200" t="n"/>
      <x:c r="M156" s="200" t="n"/>
      <x:c r="N156" s="200" t="n"/>
      <x:c r="O156" s="200" t="n"/>
      <x:c r="P156" s="200" t="n"/>
      <x:c r="Q156" s="200" t="n"/>
      <x:c r="R156" s="200" t="n"/>
      <x:c r="S156" s="200" t="n"/>
      <x:c r="T156" s="200" t="n"/>
      <x:c r="U156" s="200" t="n"/>
      <x:c r="V156" s="200" t="n"/>
      <x:c r="W156" s="200" t="n"/>
      <x:c r="X156" s="200" t="n"/>
      <x:c r="Y156" s="200" t="n"/>
      <x:c r="Z156" s="200" t="n"/>
    </x:row>
    <x:row r="157">
      <x:c r="A157" s="200" t="n"/>
      <x:c r="B157" s="200" t="n"/>
      <x:c r="C157" s="200" t="n"/>
      <x:c r="D157" s="200" t="n"/>
      <x:c r="E157" s="200" t="n"/>
      <x:c r="F157" s="200" t="n"/>
      <x:c r="G157" s="200" t="n"/>
      <x:c r="H157" s="200" t="n"/>
      <x:c r="I157" s="200" t="n"/>
      <x:c r="J157" s="200" t="n"/>
      <x:c r="K157" s="200" t="n"/>
      <x:c r="L157" s="200" t="n"/>
      <x:c r="M157" s="200" t="n"/>
      <x:c r="N157" s="200" t="n"/>
      <x:c r="O157" s="200" t="n"/>
      <x:c r="P157" s="200" t="n"/>
      <x:c r="Q157" s="200" t="n"/>
      <x:c r="R157" s="200" t="n"/>
      <x:c r="S157" s="200" t="n"/>
      <x:c r="T157" s="200" t="n"/>
      <x:c r="U157" s="200" t="n"/>
      <x:c r="V157" s="200" t="n"/>
      <x:c r="W157" s="200" t="n"/>
      <x:c r="X157" s="200" t="n"/>
      <x:c r="Y157" s="200" t="n"/>
      <x:c r="Z157" s="200" t="n"/>
    </x:row>
    <x:row r="158">
      <x:c r="A158" s="200" t="n"/>
      <x:c r="B158" s="200" t="n"/>
      <x:c r="C158" s="200" t="n"/>
      <x:c r="D158" s="200" t="n"/>
      <x:c r="E158" s="200" t="n"/>
      <x:c r="F158" s="200" t="n"/>
      <x:c r="G158" s="200" t="n"/>
      <x:c r="H158" s="200" t="n"/>
      <x:c r="I158" s="200" t="n"/>
      <x:c r="J158" s="200" t="n"/>
      <x:c r="K158" s="200" t="n"/>
      <x:c r="L158" s="200" t="n"/>
      <x:c r="M158" s="200" t="n"/>
      <x:c r="N158" s="200" t="n"/>
      <x:c r="O158" s="200" t="n"/>
      <x:c r="P158" s="200" t="n"/>
      <x:c r="Q158" s="200" t="n"/>
      <x:c r="R158" s="200" t="n"/>
      <x:c r="S158" s="200" t="n"/>
      <x:c r="T158" s="200" t="n"/>
      <x:c r="U158" s="200" t="n"/>
      <x:c r="V158" s="200" t="n"/>
      <x:c r="W158" s="200" t="n"/>
      <x:c r="X158" s="200" t="n"/>
      <x:c r="Y158" s="200" t="n"/>
      <x:c r="Z158" s="200" t="n"/>
    </x:row>
    <x:row r="159">
      <x:c r="A159" s="200" t="n"/>
      <x:c r="B159" s="200" t="n"/>
      <x:c r="C159" s="200" t="n"/>
      <x:c r="D159" s="200" t="n"/>
      <x:c r="E159" s="200" t="n"/>
      <x:c r="F159" s="200" t="n"/>
      <x:c r="G159" s="200" t="n"/>
      <x:c r="H159" s="200" t="n"/>
      <x:c r="I159" s="200" t="n"/>
      <x:c r="J159" s="200" t="n"/>
      <x:c r="K159" s="200" t="n"/>
      <x:c r="L159" s="200" t="n"/>
      <x:c r="M159" s="200" t="n"/>
      <x:c r="N159" s="200" t="n"/>
      <x:c r="O159" s="200" t="n"/>
      <x:c r="P159" s="200" t="n"/>
      <x:c r="Q159" s="200" t="n"/>
      <x:c r="R159" s="200" t="n"/>
      <x:c r="S159" s="200" t="n"/>
      <x:c r="T159" s="200" t="n"/>
      <x:c r="U159" s="200" t="n"/>
      <x:c r="V159" s="200" t="n"/>
      <x:c r="W159" s="200" t="n"/>
      <x:c r="X159" s="200" t="n"/>
      <x:c r="Y159" s="200" t="n"/>
      <x:c r="Z159" s="200" t="n"/>
    </x:row>
    <x:row r="160">
      <x:c r="A160" s="200" t="n"/>
      <x:c r="B160" s="200" t="n"/>
      <x:c r="C160" s="200" t="n"/>
      <x:c r="D160" s="200" t="n"/>
      <x:c r="E160" s="200" t="n"/>
      <x:c r="F160" s="200" t="n"/>
      <x:c r="G160" s="200" t="n"/>
      <x:c r="H160" s="200" t="n"/>
      <x:c r="I160" s="200" t="n"/>
      <x:c r="J160" s="200" t="n"/>
      <x:c r="K160" s="200" t="n"/>
      <x:c r="L160" s="200" t="n"/>
      <x:c r="M160" s="200" t="n"/>
      <x:c r="N160" s="200" t="n"/>
      <x:c r="O160" s="200" t="n"/>
      <x:c r="P160" s="200" t="n"/>
      <x:c r="Q160" s="200" t="n"/>
      <x:c r="R160" s="200" t="n"/>
      <x:c r="S160" s="200" t="n"/>
      <x:c r="T160" s="200" t="n"/>
      <x:c r="U160" s="200" t="n"/>
      <x:c r="V160" s="200" t="n"/>
      <x:c r="W160" s="200" t="n"/>
      <x:c r="X160" s="200" t="n"/>
      <x:c r="Y160" s="200" t="n"/>
      <x:c r="Z160" s="200" t="n"/>
    </x:row>
    <x:row r="161">
      <x:c r="A161" s="200" t="n"/>
      <x:c r="B161" s="200" t="n"/>
      <x:c r="C161" s="200" t="n"/>
      <x:c r="D161" s="200" t="n"/>
      <x:c r="E161" s="200" t="n"/>
      <x:c r="F161" s="200" t="n"/>
      <x:c r="G161" s="200" t="n"/>
      <x:c r="H161" s="200" t="n"/>
      <x:c r="I161" s="200" t="n"/>
      <x:c r="J161" s="200" t="n"/>
      <x:c r="K161" s="200" t="n"/>
      <x:c r="L161" s="200" t="n"/>
      <x:c r="M161" s="200" t="n"/>
      <x:c r="N161" s="200" t="n"/>
      <x:c r="O161" s="200" t="n"/>
      <x:c r="P161" s="200" t="n"/>
      <x:c r="Q161" s="200" t="n"/>
      <x:c r="R161" s="200" t="n"/>
      <x:c r="S161" s="200" t="n"/>
      <x:c r="T161" s="200" t="n"/>
      <x:c r="U161" s="200" t="n"/>
      <x:c r="V161" s="200" t="n"/>
      <x:c r="W161" s="200" t="n"/>
      <x:c r="X161" s="200" t="n"/>
      <x:c r="Y161" s="200" t="n"/>
      <x:c r="Z161" s="200" t="n"/>
    </x:row>
    <x:row r="162">
      <x:c r="A162" s="200" t="n"/>
      <x:c r="B162" s="200" t="n"/>
      <x:c r="C162" s="200" t="n"/>
      <x:c r="D162" s="200" t="n"/>
      <x:c r="E162" s="200" t="n"/>
      <x:c r="F162" s="200" t="n"/>
      <x:c r="G162" s="200" t="n"/>
      <x:c r="H162" s="200" t="n"/>
      <x:c r="I162" s="200" t="n"/>
      <x:c r="J162" s="200" t="n"/>
      <x:c r="K162" s="200" t="n"/>
      <x:c r="L162" s="200" t="n"/>
      <x:c r="M162" s="200" t="n"/>
      <x:c r="N162" s="200" t="n"/>
      <x:c r="O162" s="200" t="n"/>
      <x:c r="P162" s="200" t="n"/>
      <x:c r="Q162" s="200" t="n"/>
      <x:c r="R162" s="200" t="n"/>
      <x:c r="S162" s="200" t="n"/>
      <x:c r="T162" s="200" t="n"/>
      <x:c r="U162" s="200" t="n"/>
      <x:c r="V162" s="200" t="n"/>
      <x:c r="W162" s="200" t="n"/>
      <x:c r="X162" s="200" t="n"/>
      <x:c r="Y162" s="200" t="n"/>
      <x:c r="Z162" s="200" t="n"/>
    </x:row>
    <x:row r="163">
      <x:c r="A163" s="200" t="n"/>
      <x:c r="B163" s="200" t="n"/>
      <x:c r="C163" s="200" t="n"/>
      <x:c r="D163" s="200" t="n"/>
      <x:c r="E163" s="200" t="n"/>
      <x:c r="F163" s="200" t="n"/>
      <x:c r="G163" s="200" t="n"/>
      <x:c r="H163" s="200" t="n"/>
      <x:c r="I163" s="200" t="n"/>
      <x:c r="J163" s="200" t="n"/>
      <x:c r="K163" s="200" t="n"/>
      <x:c r="L163" s="200" t="n"/>
      <x:c r="M163" s="200" t="n"/>
      <x:c r="N163" s="200" t="n"/>
      <x:c r="O163" s="200" t="n"/>
      <x:c r="P163" s="200" t="n"/>
      <x:c r="Q163" s="200" t="n"/>
      <x:c r="R163" s="200" t="n"/>
      <x:c r="S163" s="200" t="n"/>
      <x:c r="T163" s="200" t="n"/>
      <x:c r="U163" s="200" t="n"/>
      <x:c r="V163" s="200" t="n"/>
      <x:c r="W163" s="200" t="n"/>
      <x:c r="X163" s="200" t="n"/>
      <x:c r="Y163" s="200" t="n"/>
      <x:c r="Z163" s="200" t="n"/>
    </x:row>
    <x:row r="164">
      <x:c r="A164" s="200" t="n"/>
      <x:c r="B164" s="200" t="n"/>
      <x:c r="C164" s="200" t="n"/>
      <x:c r="D164" s="200" t="n"/>
      <x:c r="E164" s="200" t="n"/>
      <x:c r="F164" s="200" t="n"/>
      <x:c r="G164" s="200" t="n"/>
      <x:c r="H164" s="200" t="n"/>
      <x:c r="I164" s="200" t="n"/>
      <x:c r="J164" s="200" t="n"/>
      <x:c r="K164" s="200" t="n"/>
      <x:c r="L164" s="200" t="n"/>
      <x:c r="M164" s="200" t="n"/>
      <x:c r="N164" s="200" t="n"/>
      <x:c r="O164" s="200" t="n"/>
      <x:c r="P164" s="200" t="n"/>
      <x:c r="Q164" s="200" t="n"/>
      <x:c r="R164" s="200" t="n"/>
      <x:c r="S164" s="200" t="n"/>
      <x:c r="T164" s="200" t="n"/>
      <x:c r="U164" s="200" t="n"/>
      <x:c r="V164" s="200" t="n"/>
      <x:c r="W164" s="200" t="n"/>
      <x:c r="X164" s="200" t="n"/>
      <x:c r="Y164" s="200" t="n"/>
      <x:c r="Z164" s="200" t="n"/>
    </x:row>
    <x:row r="165">
      <x:c r="A165" s="200" t="n"/>
      <x:c r="B165" s="200" t="n"/>
      <x:c r="C165" s="200" t="n"/>
      <x:c r="D165" s="200" t="n"/>
      <x:c r="E165" s="200" t="n"/>
      <x:c r="F165" s="200" t="n"/>
      <x:c r="G165" s="200" t="n"/>
      <x:c r="H165" s="200" t="n"/>
      <x:c r="I165" s="200" t="n"/>
      <x:c r="J165" s="200" t="n"/>
      <x:c r="K165" s="200" t="n"/>
      <x:c r="L165" s="200" t="n"/>
      <x:c r="M165" s="200" t="n"/>
      <x:c r="N165" s="200" t="n"/>
      <x:c r="O165" s="200" t="n"/>
      <x:c r="P165" s="200" t="n"/>
      <x:c r="Q165" s="200" t="n"/>
      <x:c r="R165" s="200" t="n"/>
      <x:c r="S165" s="200" t="n"/>
      <x:c r="T165" s="200" t="n"/>
      <x:c r="U165" s="200" t="n"/>
      <x:c r="V165" s="200" t="n"/>
      <x:c r="W165" s="200" t="n"/>
      <x:c r="X165" s="200" t="n"/>
      <x:c r="Y165" s="200" t="n"/>
      <x:c r="Z165" s="200" t="n"/>
    </x:row>
    <x:row r="166">
      <x:c r="A166" s="200" t="n"/>
      <x:c r="B166" s="200" t="n"/>
      <x:c r="C166" s="200" t="n"/>
      <x:c r="D166" s="200" t="n"/>
      <x:c r="E166" s="200" t="n"/>
      <x:c r="F166" s="200" t="n"/>
      <x:c r="G166" s="200" t="n"/>
      <x:c r="H166" s="200" t="n"/>
      <x:c r="I166" s="200" t="n"/>
      <x:c r="J166" s="200" t="n"/>
      <x:c r="K166" s="200" t="n"/>
      <x:c r="L166" s="200" t="n"/>
      <x:c r="M166" s="200" t="n"/>
      <x:c r="N166" s="200" t="n"/>
      <x:c r="O166" s="200" t="n"/>
      <x:c r="P166" s="200" t="n"/>
      <x:c r="Q166" s="200" t="n"/>
      <x:c r="R166" s="200" t="n"/>
      <x:c r="S166" s="200" t="n"/>
      <x:c r="T166" s="200" t="n"/>
      <x:c r="U166" s="200" t="n"/>
      <x:c r="V166" s="200" t="n"/>
      <x:c r="W166" s="200" t="n"/>
      <x:c r="X166" s="200" t="n"/>
      <x:c r="Y166" s="200" t="n"/>
      <x:c r="Z166" s="200" t="n"/>
    </x:row>
    <x:row r="167">
      <x:c r="A167" s="200" t="n"/>
      <x:c r="B167" s="200" t="n"/>
      <x:c r="C167" s="200" t="n"/>
      <x:c r="D167" s="200" t="n"/>
      <x:c r="E167" s="200" t="n"/>
      <x:c r="F167" s="200" t="n"/>
      <x:c r="G167" s="200" t="n"/>
      <x:c r="H167" s="200" t="n"/>
      <x:c r="I167" s="200" t="n"/>
      <x:c r="J167" s="200" t="n"/>
      <x:c r="K167" s="200" t="n"/>
      <x:c r="L167" s="200" t="n"/>
      <x:c r="M167" s="200" t="n"/>
      <x:c r="N167" s="200" t="n"/>
      <x:c r="O167" s="200" t="n"/>
      <x:c r="P167" s="200" t="n"/>
      <x:c r="Q167" s="200" t="n"/>
      <x:c r="R167" s="200" t="n"/>
      <x:c r="S167" s="200" t="n"/>
      <x:c r="T167" s="200" t="n"/>
      <x:c r="U167" s="200" t="n"/>
      <x:c r="V167" s="200" t="n"/>
      <x:c r="W167" s="200" t="n"/>
      <x:c r="X167" s="200" t="n"/>
      <x:c r="Y167" s="200" t="n"/>
      <x:c r="Z167" s="200" t="n"/>
    </x:row>
    <x:row r="168">
      <x:c r="A168" s="200" t="n"/>
      <x:c r="B168" s="200" t="n"/>
      <x:c r="C168" s="200" t="n"/>
      <x:c r="D168" s="200" t="n"/>
      <x:c r="E168" s="200" t="n"/>
      <x:c r="F168" s="200" t="n"/>
      <x:c r="G168" s="200" t="n"/>
      <x:c r="H168" s="200" t="n"/>
      <x:c r="I168" s="200" t="n"/>
      <x:c r="J168" s="200" t="n"/>
      <x:c r="K168" s="200" t="n"/>
      <x:c r="L168" s="200" t="n"/>
      <x:c r="M168" s="200" t="n"/>
      <x:c r="N168" s="200" t="n"/>
      <x:c r="O168" s="200" t="n"/>
      <x:c r="P168" s="200" t="n"/>
      <x:c r="Q168" s="200" t="n"/>
      <x:c r="R168" s="200" t="n"/>
      <x:c r="S168" s="200" t="n"/>
      <x:c r="T168" s="200" t="n"/>
      <x:c r="U168" s="200" t="n"/>
      <x:c r="V168" s="200" t="n"/>
      <x:c r="W168" s="200" t="n"/>
      <x:c r="X168" s="200" t="n"/>
      <x:c r="Y168" s="200" t="n"/>
      <x:c r="Z168" s="200" t="n"/>
    </x:row>
    <x:row r="169">
      <x:c r="A169" s="200" t="n"/>
      <x:c r="B169" s="200" t="n"/>
      <x:c r="C169" s="200" t="n"/>
      <x:c r="D169" s="200" t="n"/>
      <x:c r="E169" s="200" t="n"/>
      <x:c r="F169" s="200" t="n"/>
      <x:c r="G169" s="200" t="n"/>
      <x:c r="H169" s="200" t="n"/>
      <x:c r="I169" s="200" t="n"/>
      <x:c r="J169" s="200" t="n"/>
      <x:c r="K169" s="200" t="n"/>
      <x:c r="L169" s="200" t="n"/>
      <x:c r="M169" s="200" t="n"/>
      <x:c r="N169" s="200" t="n"/>
      <x:c r="O169" s="200" t="n"/>
      <x:c r="P169" s="200" t="n"/>
      <x:c r="Q169" s="200" t="n"/>
      <x:c r="R169" s="200" t="n"/>
      <x:c r="S169" s="200" t="n"/>
      <x:c r="T169" s="200" t="n"/>
      <x:c r="U169" s="200" t="n"/>
      <x:c r="V169" s="200" t="n"/>
      <x:c r="W169" s="200" t="n"/>
      <x:c r="X169" s="200" t="n"/>
      <x:c r="Y169" s="200" t="n"/>
      <x:c r="Z169" s="200" t="n"/>
    </x:row>
    <x:row r="170">
      <x:c r="A170" s="200" t="n"/>
      <x:c r="B170" s="200" t="n"/>
      <x:c r="C170" s="200" t="n"/>
      <x:c r="D170" s="200" t="n"/>
      <x:c r="E170" s="200" t="n"/>
      <x:c r="F170" s="200" t="n"/>
      <x:c r="G170" s="200" t="n"/>
      <x:c r="H170" s="200" t="n"/>
      <x:c r="I170" s="200" t="n"/>
      <x:c r="J170" s="200" t="n"/>
      <x:c r="K170" s="200" t="n"/>
      <x:c r="L170" s="200" t="n"/>
      <x:c r="M170" s="200" t="n"/>
      <x:c r="N170" s="200" t="n"/>
      <x:c r="O170" s="200" t="n"/>
      <x:c r="P170" s="200" t="n"/>
      <x:c r="Q170" s="200" t="n"/>
      <x:c r="R170" s="200" t="n"/>
      <x:c r="S170" s="200" t="n"/>
      <x:c r="T170" s="200" t="n"/>
      <x:c r="U170" s="200" t="n"/>
      <x:c r="V170" s="200" t="n"/>
      <x:c r="W170" s="200" t="n"/>
      <x:c r="X170" s="200" t="n"/>
      <x:c r="Y170" s="200" t="n"/>
      <x:c r="Z170" s="200" t="n"/>
    </x:row>
    <x:row r="171">
      <x:c r="A171" s="200" t="n"/>
      <x:c r="B171" s="200" t="n"/>
      <x:c r="C171" s="200" t="n"/>
      <x:c r="D171" s="200" t="n"/>
      <x:c r="E171" s="200" t="n"/>
      <x:c r="F171" s="200" t="n"/>
      <x:c r="G171" s="200" t="n"/>
      <x:c r="H171" s="200" t="n"/>
      <x:c r="I171" s="200" t="n"/>
      <x:c r="J171" s="200" t="n"/>
      <x:c r="K171" s="200" t="n"/>
      <x:c r="L171" s="200" t="n"/>
      <x:c r="M171" s="200" t="n"/>
      <x:c r="N171" s="200" t="n"/>
      <x:c r="O171" s="200" t="n"/>
      <x:c r="P171" s="200" t="n"/>
      <x:c r="Q171" s="200" t="n"/>
      <x:c r="R171" s="200" t="n"/>
      <x:c r="S171" s="200" t="n"/>
      <x:c r="T171" s="200" t="n"/>
      <x:c r="U171" s="200" t="n"/>
      <x:c r="V171" s="200" t="n"/>
      <x:c r="W171" s="200" t="n"/>
      <x:c r="X171" s="200" t="n"/>
      <x:c r="Y171" s="200" t="n"/>
      <x:c r="Z171" s="200" t="n"/>
    </x:row>
    <x:row r="172">
      <x:c r="A172" s="200" t="n"/>
      <x:c r="B172" s="200" t="n"/>
      <x:c r="C172" s="200" t="n"/>
      <x:c r="D172" s="200" t="n"/>
      <x:c r="E172" s="200" t="n"/>
      <x:c r="F172" s="200" t="n"/>
      <x:c r="G172" s="200" t="n"/>
      <x:c r="H172" s="200" t="n"/>
      <x:c r="I172" s="200" t="n"/>
      <x:c r="J172" s="200" t="n"/>
      <x:c r="K172" s="200" t="n"/>
      <x:c r="L172" s="200" t="n"/>
      <x:c r="M172" s="200" t="n"/>
      <x:c r="N172" s="200" t="n"/>
      <x:c r="O172" s="200" t="n"/>
      <x:c r="P172" s="200" t="n"/>
      <x:c r="Q172" s="200" t="n"/>
      <x:c r="R172" s="200" t="n"/>
      <x:c r="S172" s="200" t="n"/>
      <x:c r="T172" s="200" t="n"/>
      <x:c r="U172" s="200" t="n"/>
      <x:c r="V172" s="200" t="n"/>
      <x:c r="W172" s="200" t="n"/>
      <x:c r="X172" s="200" t="n"/>
      <x:c r="Y172" s="200" t="n"/>
      <x:c r="Z172" s="200" t="n"/>
    </x:row>
    <x:row r="173">
      <x:c r="A173" s="200" t="n"/>
      <x:c r="B173" s="200" t="n"/>
      <x:c r="C173" s="200" t="n"/>
      <x:c r="D173" s="200" t="n"/>
      <x:c r="E173" s="200" t="n"/>
      <x:c r="F173" s="200" t="n"/>
      <x:c r="G173" s="200" t="n"/>
      <x:c r="H173" s="200" t="n"/>
      <x:c r="I173" s="200" t="n"/>
      <x:c r="J173" s="200" t="n"/>
      <x:c r="K173" s="200" t="n"/>
      <x:c r="L173" s="200" t="n"/>
      <x:c r="M173" s="200" t="n"/>
      <x:c r="N173" s="200" t="n"/>
      <x:c r="O173" s="200" t="n"/>
      <x:c r="P173" s="200" t="n"/>
      <x:c r="Q173" s="200" t="n"/>
      <x:c r="R173" s="200" t="n"/>
      <x:c r="S173" s="200" t="n"/>
      <x:c r="T173" s="200" t="n"/>
      <x:c r="U173" s="200" t="n"/>
      <x:c r="V173" s="200" t="n"/>
      <x:c r="W173" s="200" t="n"/>
      <x:c r="X173" s="200" t="n"/>
      <x:c r="Y173" s="200" t="n"/>
      <x:c r="Z173" s="200" t="n"/>
    </x:row>
    <x:row r="174">
      <x:c r="A174" s="200" t="n"/>
      <x:c r="B174" s="200" t="n"/>
      <x:c r="C174" s="200" t="n"/>
      <x:c r="D174" s="200" t="n"/>
      <x:c r="E174" s="200" t="n"/>
      <x:c r="F174" s="200" t="n"/>
      <x:c r="G174" s="200" t="n"/>
      <x:c r="H174" s="200" t="n"/>
      <x:c r="I174" s="200" t="n"/>
      <x:c r="J174" s="200" t="n"/>
      <x:c r="K174" s="200" t="n"/>
      <x:c r="L174" s="200" t="n"/>
      <x:c r="M174" s="200" t="n"/>
      <x:c r="N174" s="200" t="n"/>
      <x:c r="O174" s="200" t="n"/>
      <x:c r="P174" s="200" t="n"/>
      <x:c r="Q174" s="200" t="n"/>
      <x:c r="R174" s="200" t="n"/>
      <x:c r="S174" s="200" t="n"/>
      <x:c r="T174" s="200" t="n"/>
      <x:c r="U174" s="200" t="n"/>
      <x:c r="V174" s="200" t="n"/>
      <x:c r="W174" s="200" t="n"/>
      <x:c r="X174" s="200" t="n"/>
      <x:c r="Y174" s="200" t="n"/>
      <x:c r="Z174" s="200" t="n"/>
    </x:row>
    <x:row r="175">
      <x:c r="A175" s="200" t="n"/>
      <x:c r="B175" s="200" t="n"/>
      <x:c r="C175" s="200" t="n"/>
      <x:c r="D175" s="200" t="n"/>
      <x:c r="E175" s="200" t="n"/>
      <x:c r="F175" s="200" t="n"/>
      <x:c r="G175" s="200" t="n"/>
      <x:c r="H175" s="200" t="n"/>
      <x:c r="I175" s="200" t="n"/>
      <x:c r="J175" s="200" t="n"/>
      <x:c r="K175" s="200" t="n"/>
      <x:c r="L175" s="200" t="n"/>
      <x:c r="M175" s="200" t="n"/>
      <x:c r="N175" s="200" t="n"/>
      <x:c r="O175" s="200" t="n"/>
      <x:c r="P175" s="200" t="n"/>
      <x:c r="Q175" s="200" t="n"/>
      <x:c r="R175" s="200" t="n"/>
      <x:c r="S175" s="200" t="n"/>
      <x:c r="T175" s="200" t="n"/>
      <x:c r="U175" s="200" t="n"/>
      <x:c r="V175" s="200" t="n"/>
      <x:c r="W175" s="200" t="n"/>
      <x:c r="X175" s="200" t="n"/>
      <x:c r="Y175" s="200" t="n"/>
      <x:c r="Z175" s="200" t="n"/>
    </x:row>
    <x:row r="176">
      <x:c r="A176" s="200" t="n"/>
      <x:c r="B176" s="200" t="n"/>
      <x:c r="C176" s="200" t="n"/>
      <x:c r="D176" s="200" t="n"/>
      <x:c r="E176" s="200" t="n"/>
      <x:c r="F176" s="200" t="n"/>
      <x:c r="G176" s="200" t="n"/>
      <x:c r="H176" s="200" t="n"/>
      <x:c r="I176" s="200" t="n"/>
      <x:c r="J176" s="200" t="n"/>
      <x:c r="K176" s="200" t="n"/>
      <x:c r="L176" s="200" t="n"/>
      <x:c r="M176" s="200" t="n"/>
      <x:c r="N176" s="200" t="n"/>
      <x:c r="O176" s="200" t="n"/>
      <x:c r="P176" s="200" t="n"/>
      <x:c r="Q176" s="200" t="n"/>
      <x:c r="R176" s="200" t="n"/>
      <x:c r="S176" s="200" t="n"/>
      <x:c r="T176" s="200" t="n"/>
      <x:c r="U176" s="200" t="n"/>
      <x:c r="V176" s="200" t="n"/>
      <x:c r="W176" s="200" t="n"/>
      <x:c r="X176" s="200" t="n"/>
      <x:c r="Y176" s="200" t="n"/>
      <x:c r="Z176" s="200" t="n"/>
    </x:row>
    <x:row r="177">
      <x:c r="A177" s="200" t="n"/>
      <x:c r="B177" s="200" t="n"/>
      <x:c r="C177" s="200" t="n"/>
      <x:c r="D177" s="200" t="n"/>
      <x:c r="E177" s="200" t="n"/>
      <x:c r="F177" s="200" t="n"/>
      <x:c r="G177" s="200" t="n"/>
      <x:c r="H177" s="200" t="n"/>
      <x:c r="I177" s="200" t="n"/>
      <x:c r="J177" s="200" t="n"/>
      <x:c r="K177" s="200" t="n"/>
      <x:c r="L177" s="200" t="n"/>
      <x:c r="M177" s="200" t="n"/>
      <x:c r="N177" s="200" t="n"/>
      <x:c r="O177" s="200" t="n"/>
      <x:c r="P177" s="200" t="n"/>
      <x:c r="Q177" s="200" t="n"/>
      <x:c r="R177" s="200" t="n"/>
      <x:c r="S177" s="200" t="n"/>
      <x:c r="T177" s="200" t="n"/>
      <x:c r="U177" s="200" t="n"/>
      <x:c r="V177" s="200" t="n"/>
      <x:c r="W177" s="200" t="n"/>
      <x:c r="X177" s="200" t="n"/>
      <x:c r="Y177" s="200" t="n"/>
      <x:c r="Z177" s="200" t="n"/>
    </x:row>
    <x:row r="178">
      <x:c r="A178" s="200" t="n"/>
      <x:c r="B178" s="200" t="n"/>
      <x:c r="C178" s="200" t="n"/>
      <x:c r="D178" s="200" t="n"/>
      <x:c r="E178" s="200" t="n"/>
      <x:c r="F178" s="200" t="n"/>
      <x:c r="G178" s="200" t="n"/>
      <x:c r="H178" s="200" t="n"/>
      <x:c r="I178" s="200" t="n"/>
      <x:c r="J178" s="200" t="n"/>
      <x:c r="K178" s="200" t="n"/>
      <x:c r="L178" s="200" t="n"/>
      <x:c r="M178" s="200" t="n"/>
      <x:c r="N178" s="200" t="n"/>
      <x:c r="O178" s="200" t="n"/>
      <x:c r="P178" s="200" t="n"/>
      <x:c r="Q178" s="200" t="n"/>
      <x:c r="R178" s="200" t="n"/>
      <x:c r="S178" s="200" t="n"/>
      <x:c r="T178" s="200" t="n"/>
      <x:c r="U178" s="200" t="n"/>
      <x:c r="V178" s="200" t="n"/>
      <x:c r="W178" s="200" t="n"/>
      <x:c r="X178" s="200" t="n"/>
      <x:c r="Y178" s="200" t="n"/>
      <x:c r="Z178" s="200" t="n"/>
    </x:row>
    <x:row r="179">
      <x:c r="A179" s="200" t="n"/>
      <x:c r="B179" s="200" t="n"/>
      <x:c r="C179" s="200" t="n"/>
      <x:c r="D179" s="200" t="n"/>
      <x:c r="E179" s="200" t="n"/>
      <x:c r="F179" s="200" t="n"/>
      <x:c r="G179" s="200" t="n"/>
      <x:c r="H179" s="200" t="n"/>
      <x:c r="I179" s="200" t="n"/>
      <x:c r="J179" s="200" t="n"/>
      <x:c r="K179" s="200" t="n"/>
      <x:c r="L179" s="200" t="n"/>
      <x:c r="M179" s="200" t="n"/>
      <x:c r="N179" s="200" t="n"/>
      <x:c r="O179" s="200" t="n"/>
      <x:c r="P179" s="200" t="n"/>
      <x:c r="Q179" s="200" t="n"/>
      <x:c r="R179" s="200" t="n"/>
      <x:c r="S179" s="200" t="n"/>
      <x:c r="T179" s="200" t="n"/>
      <x:c r="U179" s="200" t="n"/>
      <x:c r="V179" s="200" t="n"/>
      <x:c r="W179" s="200" t="n"/>
      <x:c r="X179" s="200" t="n"/>
      <x:c r="Y179" s="200" t="n"/>
      <x:c r="Z179" s="200" t="n"/>
    </x:row>
    <x:row r="180">
      <x:c r="A180" s="200" t="n"/>
      <x:c r="B180" s="200" t="n"/>
      <x:c r="C180" s="200" t="n"/>
      <x:c r="D180" s="200" t="n"/>
      <x:c r="E180" s="200" t="n"/>
      <x:c r="F180" s="200" t="n"/>
      <x:c r="G180" s="200" t="n"/>
      <x:c r="H180" s="200" t="n"/>
      <x:c r="I180" s="200" t="n"/>
      <x:c r="J180" s="200" t="n"/>
      <x:c r="K180" s="200" t="n"/>
      <x:c r="L180" s="200" t="n"/>
      <x:c r="M180" s="200" t="n"/>
      <x:c r="N180" s="200" t="n"/>
      <x:c r="O180" s="200" t="n"/>
      <x:c r="P180" s="200" t="n"/>
      <x:c r="Q180" s="200" t="n"/>
      <x:c r="R180" s="200" t="n"/>
      <x:c r="S180" s="200" t="n"/>
      <x:c r="T180" s="200" t="n"/>
      <x:c r="U180" s="200" t="n"/>
      <x:c r="V180" s="200" t="n"/>
      <x:c r="W180" s="200" t="n"/>
      <x:c r="X180" s="200" t="n"/>
      <x:c r="Y180" s="200" t="n"/>
      <x:c r="Z180" s="200" t="n"/>
    </x:row>
    <x:row r="181">
      <x:c r="A181" s="200" t="n"/>
      <x:c r="B181" s="200" t="n"/>
      <x:c r="C181" s="200" t="n"/>
      <x:c r="D181" s="200" t="n"/>
      <x:c r="E181" s="200" t="n"/>
      <x:c r="F181" s="200" t="n"/>
      <x:c r="G181" s="200" t="n"/>
      <x:c r="H181" s="200" t="n"/>
      <x:c r="I181" s="200" t="n"/>
      <x:c r="J181" s="200" t="n"/>
      <x:c r="K181" s="200" t="n"/>
      <x:c r="L181" s="200" t="n"/>
      <x:c r="M181" s="200" t="n"/>
      <x:c r="N181" s="200" t="n"/>
      <x:c r="O181" s="200" t="n"/>
      <x:c r="P181" s="200" t="n"/>
      <x:c r="Q181" s="200" t="n"/>
      <x:c r="R181" s="200" t="n"/>
      <x:c r="S181" s="200" t="n"/>
      <x:c r="T181" s="200" t="n"/>
      <x:c r="U181" s="200" t="n"/>
      <x:c r="V181" s="200" t="n"/>
      <x:c r="W181" s="200" t="n"/>
      <x:c r="X181" s="200" t="n"/>
      <x:c r="Y181" s="200" t="n"/>
      <x:c r="Z181" s="200" t="n"/>
    </x:row>
    <x:row r="182">
      <x:c r="A182" s="200" t="n"/>
      <x:c r="B182" s="200" t="n"/>
      <x:c r="C182" s="200" t="n"/>
      <x:c r="D182" s="200" t="n"/>
      <x:c r="E182" s="200" t="n"/>
      <x:c r="F182" s="200" t="n"/>
      <x:c r="G182" s="200" t="n"/>
      <x:c r="H182" s="200" t="n"/>
      <x:c r="I182" s="200" t="n"/>
      <x:c r="J182" s="200" t="n"/>
      <x:c r="K182" s="200" t="n"/>
      <x:c r="L182" s="200" t="n"/>
      <x:c r="M182" s="200" t="n"/>
      <x:c r="N182" s="200" t="n"/>
      <x:c r="O182" s="200" t="n"/>
      <x:c r="P182" s="200" t="n"/>
      <x:c r="Q182" s="200" t="n"/>
      <x:c r="R182" s="200" t="n"/>
      <x:c r="S182" s="200" t="n"/>
      <x:c r="T182" s="200" t="n"/>
      <x:c r="U182" s="200" t="n"/>
      <x:c r="V182" s="200" t="n"/>
      <x:c r="W182" s="200" t="n"/>
      <x:c r="X182" s="200" t="n"/>
      <x:c r="Y182" s="200" t="n"/>
      <x:c r="Z182" s="200" t="n"/>
    </x:row>
    <x:row r="183">
      <x:c r="A183" s="200" t="n"/>
      <x:c r="B183" s="200" t="n"/>
      <x:c r="C183" s="200" t="n"/>
      <x:c r="D183" s="200" t="n"/>
      <x:c r="E183" s="200" t="n"/>
      <x:c r="F183" s="200" t="n"/>
      <x:c r="G183" s="200" t="n"/>
      <x:c r="H183" s="200" t="n"/>
      <x:c r="I183" s="200" t="n"/>
      <x:c r="J183" s="200" t="n"/>
      <x:c r="K183" s="200" t="n"/>
      <x:c r="L183" s="200" t="n"/>
      <x:c r="M183" s="200" t="n"/>
      <x:c r="N183" s="200" t="n"/>
      <x:c r="O183" s="200" t="n"/>
      <x:c r="P183" s="200" t="n"/>
      <x:c r="Q183" s="200" t="n"/>
      <x:c r="R183" s="200" t="n"/>
      <x:c r="S183" s="200" t="n"/>
      <x:c r="T183" s="200" t="n"/>
      <x:c r="U183" s="200" t="n"/>
      <x:c r="V183" s="200" t="n"/>
      <x:c r="W183" s="200" t="n"/>
      <x:c r="X183" s="200" t="n"/>
      <x:c r="Y183" s="200" t="n"/>
      <x:c r="Z183" s="200" t="n"/>
    </x:row>
    <x:row r="184">
      <x:c r="A184" s="200" t="n"/>
      <x:c r="B184" s="200" t="n"/>
      <x:c r="C184" s="200" t="n"/>
      <x:c r="D184" s="200" t="n"/>
      <x:c r="E184" s="200" t="n"/>
      <x:c r="F184" s="200" t="n"/>
      <x:c r="G184" s="200" t="n"/>
      <x:c r="H184" s="200" t="n"/>
      <x:c r="I184" s="200" t="n"/>
      <x:c r="J184" s="200" t="n"/>
      <x:c r="K184" s="200" t="n"/>
      <x:c r="L184" s="200" t="n"/>
      <x:c r="M184" s="200" t="n"/>
      <x:c r="N184" s="200" t="n"/>
      <x:c r="O184" s="200" t="n"/>
      <x:c r="P184" s="200" t="n"/>
      <x:c r="Q184" s="200" t="n"/>
      <x:c r="R184" s="200" t="n"/>
      <x:c r="S184" s="200" t="n"/>
      <x:c r="T184" s="200" t="n"/>
      <x:c r="U184" s="200" t="n"/>
      <x:c r="V184" s="200" t="n"/>
      <x:c r="W184" s="200" t="n"/>
      <x:c r="X184" s="200" t="n"/>
      <x:c r="Y184" s="200" t="n"/>
      <x:c r="Z184" s="200" t="n"/>
    </x:row>
    <x:row r="185">
      <x:c r="A185" s="200" t="n"/>
      <x:c r="B185" s="200" t="n"/>
      <x:c r="C185" s="200" t="n"/>
      <x:c r="D185" s="200" t="n"/>
      <x:c r="E185" s="200" t="n"/>
      <x:c r="F185" s="200" t="n"/>
      <x:c r="G185" s="200" t="n"/>
      <x:c r="H185" s="200" t="n"/>
      <x:c r="I185" s="200" t="n"/>
      <x:c r="J185" s="200" t="n"/>
      <x:c r="K185" s="200" t="n"/>
      <x:c r="L185" s="200" t="n"/>
      <x:c r="M185" s="200" t="n"/>
      <x:c r="N185" s="200" t="n"/>
      <x:c r="O185" s="200" t="n"/>
      <x:c r="P185" s="200" t="n"/>
      <x:c r="Q185" s="200" t="n"/>
      <x:c r="R185" s="200" t="n"/>
      <x:c r="S185" s="200" t="n"/>
      <x:c r="T185" s="200" t="n"/>
      <x:c r="U185" s="200" t="n"/>
      <x:c r="V185" s="200" t="n"/>
      <x:c r="W185" s="200" t="n"/>
      <x:c r="X185" s="200" t="n"/>
      <x:c r="Y185" s="200" t="n"/>
      <x:c r="Z185" s="200" t="n"/>
    </x:row>
    <x:row r="186">
      <x:c r="A186" s="200" t="n"/>
      <x:c r="B186" s="200" t="n"/>
      <x:c r="C186" s="200" t="n"/>
      <x:c r="D186" s="200" t="n"/>
      <x:c r="E186" s="200" t="n"/>
      <x:c r="F186" s="200" t="n"/>
      <x:c r="G186" s="200" t="n"/>
      <x:c r="H186" s="200" t="n"/>
      <x:c r="I186" s="200" t="n"/>
      <x:c r="J186" s="200" t="n"/>
      <x:c r="K186" s="200" t="n"/>
      <x:c r="L186" s="200" t="n"/>
      <x:c r="M186" s="200" t="n"/>
      <x:c r="N186" s="200" t="n"/>
      <x:c r="O186" s="200" t="n"/>
      <x:c r="P186" s="200" t="n"/>
      <x:c r="Q186" s="200" t="n"/>
      <x:c r="R186" s="200" t="n"/>
      <x:c r="S186" s="200" t="n"/>
      <x:c r="T186" s="200" t="n"/>
      <x:c r="U186" s="200" t="n"/>
      <x:c r="V186" s="200" t="n"/>
      <x:c r="W186" s="200" t="n"/>
      <x:c r="X186" s="200" t="n"/>
      <x:c r="Y186" s="200" t="n"/>
      <x:c r="Z186" s="200" t="n"/>
    </x:row>
    <x:row r="187">
      <x:c r="A187" s="200" t="n"/>
      <x:c r="B187" s="200" t="n"/>
      <x:c r="C187" s="200" t="n"/>
      <x:c r="D187" s="200" t="n"/>
      <x:c r="E187" s="200" t="n"/>
      <x:c r="F187" s="200" t="n"/>
      <x:c r="G187" s="200" t="n"/>
      <x:c r="H187" s="200" t="n"/>
      <x:c r="I187" s="200" t="n"/>
      <x:c r="J187" s="200" t="n"/>
      <x:c r="K187" s="200" t="n"/>
      <x:c r="L187" s="200" t="n"/>
      <x:c r="M187" s="200" t="n"/>
      <x:c r="N187" s="200" t="n"/>
      <x:c r="O187" s="200" t="n"/>
      <x:c r="P187" s="200" t="n"/>
      <x:c r="Q187" s="200" t="n"/>
      <x:c r="R187" s="200" t="n"/>
      <x:c r="S187" s="200" t="n"/>
      <x:c r="T187" s="200" t="n"/>
      <x:c r="U187" s="200" t="n"/>
      <x:c r="V187" s="200" t="n"/>
      <x:c r="W187" s="200" t="n"/>
      <x:c r="X187" s="200" t="n"/>
      <x:c r="Y187" s="200" t="n"/>
      <x:c r="Z187" s="200" t="n"/>
    </x:row>
    <x:row r="188">
      <x:c r="A188" s="200" t="n"/>
      <x:c r="B188" s="200" t="n"/>
      <x:c r="C188" s="200" t="n"/>
      <x:c r="D188" s="200" t="n"/>
      <x:c r="E188" s="200" t="n"/>
      <x:c r="F188" s="200" t="n"/>
      <x:c r="G188" s="200" t="n"/>
      <x:c r="H188" s="200" t="n"/>
      <x:c r="I188" s="200" t="n"/>
      <x:c r="J188" s="200" t="n"/>
      <x:c r="K188" s="200" t="n"/>
      <x:c r="L188" s="200" t="n"/>
      <x:c r="M188" s="200" t="n"/>
      <x:c r="N188" s="200" t="n"/>
      <x:c r="O188" s="200" t="n"/>
      <x:c r="P188" s="200" t="n"/>
      <x:c r="Q188" s="200" t="n"/>
      <x:c r="R188" s="200" t="n"/>
      <x:c r="S188" s="200" t="n"/>
      <x:c r="T188" s="200" t="n"/>
      <x:c r="U188" s="200" t="n"/>
      <x:c r="V188" s="200" t="n"/>
      <x:c r="W188" s="200" t="n"/>
      <x:c r="X188" s="200" t="n"/>
      <x:c r="Y188" s="200" t="n"/>
      <x:c r="Z188" s="200" t="n"/>
    </x:row>
    <x:row r="189">
      <x:c r="A189" s="200" t="n"/>
      <x:c r="B189" s="200" t="n"/>
      <x:c r="C189" s="200" t="n"/>
      <x:c r="D189" s="200" t="n"/>
      <x:c r="E189" s="200" t="n"/>
      <x:c r="F189" s="200" t="n"/>
      <x:c r="G189" s="200" t="n"/>
      <x:c r="H189" s="200" t="n"/>
      <x:c r="I189" s="200" t="n"/>
      <x:c r="J189" s="200" t="n"/>
      <x:c r="K189" s="200" t="n"/>
      <x:c r="L189" s="200" t="n"/>
      <x:c r="M189" s="200" t="n"/>
      <x:c r="N189" s="200" t="n"/>
      <x:c r="O189" s="200" t="n"/>
      <x:c r="P189" s="200" t="n"/>
      <x:c r="Q189" s="200" t="n"/>
      <x:c r="R189" s="200" t="n"/>
      <x:c r="S189" s="200" t="n"/>
      <x:c r="T189" s="200" t="n"/>
      <x:c r="U189" s="200" t="n"/>
      <x:c r="V189" s="200" t="n"/>
      <x:c r="W189" s="200" t="n"/>
      <x:c r="X189" s="200" t="n"/>
      <x:c r="Y189" s="200" t="n"/>
      <x:c r="Z189" s="200" t="n"/>
    </x:row>
    <x:row r="190">
      <x:c r="A190" s="200" t="n"/>
      <x:c r="B190" s="200" t="n"/>
      <x:c r="C190" s="200" t="n"/>
      <x:c r="D190" s="200" t="n"/>
      <x:c r="E190" s="200" t="n"/>
      <x:c r="F190" s="200" t="n"/>
      <x:c r="G190" s="200" t="n"/>
      <x:c r="H190" s="200" t="n"/>
      <x:c r="I190" s="200" t="n"/>
      <x:c r="J190" s="200" t="n"/>
      <x:c r="K190" s="200" t="n"/>
      <x:c r="L190" s="200" t="n"/>
      <x:c r="M190" s="200" t="n"/>
      <x:c r="N190" s="200" t="n"/>
      <x:c r="O190" s="200" t="n"/>
      <x:c r="P190" s="200" t="n"/>
      <x:c r="Q190" s="200" t="n"/>
      <x:c r="R190" s="200" t="n"/>
      <x:c r="S190" s="200" t="n"/>
      <x:c r="T190" s="200" t="n"/>
      <x:c r="U190" s="200" t="n"/>
      <x:c r="V190" s="200" t="n"/>
      <x:c r="W190" s="200" t="n"/>
      <x:c r="X190" s="200" t="n"/>
      <x:c r="Y190" s="200" t="n"/>
      <x:c r="Z190" s="200" t="n"/>
    </x:row>
    <x:row r="191">
      <x:c r="A191" s="200" t="n"/>
      <x:c r="B191" s="200" t="n"/>
      <x:c r="C191" s="200" t="n"/>
      <x:c r="D191" s="200" t="n"/>
      <x:c r="E191" s="200" t="n"/>
      <x:c r="F191" s="200" t="n"/>
      <x:c r="G191" s="200" t="n"/>
      <x:c r="H191" s="200" t="n"/>
      <x:c r="I191" s="200" t="n"/>
      <x:c r="J191" s="200" t="n"/>
      <x:c r="K191" s="200" t="n"/>
      <x:c r="L191" s="200" t="n"/>
      <x:c r="M191" s="200" t="n"/>
      <x:c r="N191" s="200" t="n"/>
      <x:c r="O191" s="200" t="n"/>
      <x:c r="P191" s="200" t="n"/>
      <x:c r="Q191" s="200" t="n"/>
      <x:c r="R191" s="200" t="n"/>
      <x:c r="S191" s="200" t="n"/>
      <x:c r="T191" s="200" t="n"/>
      <x:c r="U191" s="200" t="n"/>
      <x:c r="V191" s="200" t="n"/>
      <x:c r="W191" s="200" t="n"/>
      <x:c r="X191" s="200" t="n"/>
      <x:c r="Y191" s="200" t="n"/>
      <x:c r="Z191" s="200" t="n"/>
    </x:row>
    <x:row r="192">
      <x:c r="A192" s="200" t="n"/>
      <x:c r="B192" s="200" t="n"/>
      <x:c r="C192" s="200" t="n"/>
      <x:c r="D192" s="200" t="n"/>
      <x:c r="E192" s="200" t="n"/>
      <x:c r="F192" s="200" t="n"/>
      <x:c r="G192" s="200" t="n"/>
      <x:c r="H192" s="200" t="n"/>
      <x:c r="I192" s="200" t="n"/>
      <x:c r="J192" s="200" t="n"/>
      <x:c r="K192" s="200" t="n"/>
      <x:c r="L192" s="200" t="n"/>
      <x:c r="M192" s="200" t="n"/>
      <x:c r="N192" s="200" t="n"/>
      <x:c r="O192" s="200" t="n"/>
      <x:c r="P192" s="200" t="n"/>
      <x:c r="Q192" s="200" t="n"/>
      <x:c r="R192" s="200" t="n"/>
      <x:c r="S192" s="200" t="n"/>
      <x:c r="T192" s="200" t="n"/>
      <x:c r="U192" s="200" t="n"/>
      <x:c r="V192" s="200" t="n"/>
      <x:c r="W192" s="200" t="n"/>
      <x:c r="X192" s="200" t="n"/>
      <x:c r="Y192" s="200" t="n"/>
      <x:c r="Z192" s="200" t="n"/>
    </x:row>
    <x:row r="193">
      <x:c r="A193" s="200" t="n"/>
      <x:c r="B193" s="200" t="n"/>
      <x:c r="C193" s="200" t="n"/>
      <x:c r="D193" s="200" t="n"/>
      <x:c r="E193" s="200" t="n"/>
      <x:c r="F193" s="200" t="n"/>
      <x:c r="G193" s="200" t="n"/>
      <x:c r="H193" s="200" t="n"/>
      <x:c r="I193" s="200" t="n"/>
      <x:c r="J193" s="200" t="n"/>
      <x:c r="K193" s="200" t="n"/>
      <x:c r="L193" s="200" t="n"/>
      <x:c r="M193" s="200" t="n"/>
      <x:c r="N193" s="200" t="n"/>
      <x:c r="O193" s="200" t="n"/>
      <x:c r="P193" s="200" t="n"/>
      <x:c r="Q193" s="200" t="n"/>
      <x:c r="R193" s="200" t="n"/>
      <x:c r="S193" s="200" t="n"/>
      <x:c r="T193" s="200" t="n"/>
      <x:c r="U193" s="200" t="n"/>
      <x:c r="V193" s="200" t="n"/>
      <x:c r="W193" s="200" t="n"/>
      <x:c r="X193" s="200" t="n"/>
      <x:c r="Y193" s="200" t="n"/>
      <x:c r="Z193" s="200" t="n"/>
    </x:row>
    <x:row r="194">
      <x:c r="A194" s="200" t="n"/>
      <x:c r="B194" s="200" t="n"/>
      <x:c r="C194" s="200" t="n"/>
      <x:c r="D194" s="200" t="n"/>
      <x:c r="E194" s="200" t="n"/>
      <x:c r="F194" s="200" t="n"/>
      <x:c r="G194" s="200" t="n"/>
      <x:c r="H194" s="200" t="n"/>
      <x:c r="I194" s="200" t="n"/>
      <x:c r="J194" s="200" t="n"/>
      <x:c r="K194" s="200" t="n"/>
      <x:c r="L194" s="200" t="n"/>
      <x:c r="M194" s="200" t="n"/>
      <x:c r="N194" s="200" t="n"/>
      <x:c r="O194" s="200" t="n"/>
      <x:c r="P194" s="200" t="n"/>
      <x:c r="Q194" s="200" t="n"/>
      <x:c r="R194" s="200" t="n"/>
      <x:c r="S194" s="200" t="n"/>
      <x:c r="T194" s="200" t="n"/>
      <x:c r="U194" s="200" t="n"/>
      <x:c r="V194" s="200" t="n"/>
      <x:c r="W194" s="200" t="n"/>
      <x:c r="X194" s="200" t="n"/>
      <x:c r="Y194" s="200" t="n"/>
      <x:c r="Z194" s="200" t="n"/>
    </x:row>
    <x:row r="195">
      <x:c r="A195" s="200" t="n"/>
      <x:c r="B195" s="200" t="n"/>
      <x:c r="C195" s="200" t="n"/>
      <x:c r="D195" s="200" t="n"/>
      <x:c r="E195" s="200" t="n"/>
      <x:c r="F195" s="200" t="n"/>
      <x:c r="G195" s="200" t="n"/>
      <x:c r="H195" s="200" t="n"/>
      <x:c r="I195" s="200" t="n"/>
      <x:c r="J195" s="200" t="n"/>
      <x:c r="K195" s="200" t="n"/>
      <x:c r="L195" s="200" t="n"/>
      <x:c r="M195" s="200" t="n"/>
      <x:c r="N195" s="200" t="n"/>
      <x:c r="O195" s="200" t="n"/>
      <x:c r="P195" s="200" t="n"/>
      <x:c r="Q195" s="200" t="n"/>
      <x:c r="R195" s="200" t="n"/>
      <x:c r="S195" s="200" t="n"/>
      <x:c r="T195" s="200" t="n"/>
      <x:c r="U195" s="200" t="n"/>
      <x:c r="V195" s="200" t="n"/>
      <x:c r="W195" s="200" t="n"/>
      <x:c r="X195" s="200" t="n"/>
      <x:c r="Y195" s="200" t="n"/>
      <x:c r="Z195" s="200" t="n"/>
    </x:row>
    <x:row r="196">
      <x:c r="A196" s="200" t="n"/>
      <x:c r="B196" s="200" t="n"/>
      <x:c r="C196" s="200" t="n"/>
      <x:c r="D196" s="200" t="n"/>
      <x:c r="E196" s="200" t="n"/>
      <x:c r="F196" s="200" t="n"/>
      <x:c r="G196" s="200" t="n"/>
      <x:c r="H196" s="200" t="n"/>
      <x:c r="I196" s="200" t="n"/>
      <x:c r="J196" s="200" t="n"/>
      <x:c r="K196" s="200" t="n"/>
      <x:c r="L196" s="200" t="n"/>
      <x:c r="M196" s="200" t="n"/>
      <x:c r="N196" s="200" t="n"/>
      <x:c r="O196" s="200" t="n"/>
      <x:c r="P196" s="200" t="n"/>
      <x:c r="Q196" s="200" t="n"/>
      <x:c r="R196" s="200" t="n"/>
      <x:c r="S196" s="200" t="n"/>
      <x:c r="T196" s="200" t="n"/>
      <x:c r="U196" s="200" t="n"/>
      <x:c r="V196" s="200" t="n"/>
      <x:c r="W196" s="200" t="n"/>
      <x:c r="X196" s="200" t="n"/>
      <x:c r="Y196" s="200" t="n"/>
      <x:c r="Z196" s="200" t="n"/>
    </x:row>
    <x:row r="197">
      <x:c r="A197" s="200" t="n"/>
      <x:c r="B197" s="200" t="n"/>
      <x:c r="C197" s="200" t="n"/>
      <x:c r="D197" s="200" t="n"/>
      <x:c r="E197" s="200" t="n"/>
      <x:c r="F197" s="200" t="n"/>
      <x:c r="G197" s="200" t="n"/>
      <x:c r="H197" s="200" t="n"/>
      <x:c r="I197" s="200" t="n"/>
      <x:c r="J197" s="200" t="n"/>
      <x:c r="K197" s="200" t="n"/>
      <x:c r="L197" s="200" t="n"/>
      <x:c r="M197" s="200" t="n"/>
      <x:c r="N197" s="200" t="n"/>
      <x:c r="O197" s="200" t="n"/>
      <x:c r="P197" s="200" t="n"/>
      <x:c r="Q197" s="200" t="n"/>
      <x:c r="R197" s="200" t="n"/>
      <x:c r="S197" s="200" t="n"/>
      <x:c r="T197" s="200" t="n"/>
      <x:c r="U197" s="200" t="n"/>
      <x:c r="V197" s="200" t="n"/>
      <x:c r="W197" s="200" t="n"/>
      <x:c r="X197" s="200" t="n"/>
      <x:c r="Y197" s="200" t="n"/>
      <x:c r="Z197" s="200" t="n"/>
    </x:row>
    <x:row r="198">
      <x:c r="A198" s="200" t="n"/>
      <x:c r="B198" s="200" t="n"/>
      <x:c r="C198" s="200" t="n"/>
      <x:c r="D198" s="200" t="n"/>
      <x:c r="E198" s="200" t="n"/>
      <x:c r="F198" s="200" t="n"/>
      <x:c r="G198" s="200" t="n"/>
      <x:c r="H198" s="200" t="n"/>
      <x:c r="I198" s="200" t="n"/>
      <x:c r="J198" s="200" t="n"/>
      <x:c r="K198" s="200" t="n"/>
      <x:c r="L198" s="200" t="n"/>
      <x:c r="M198" s="200" t="n"/>
      <x:c r="N198" s="200" t="n"/>
      <x:c r="O198" s="200" t="n"/>
      <x:c r="P198" s="200" t="n"/>
      <x:c r="Q198" s="200" t="n"/>
      <x:c r="R198" s="200" t="n"/>
      <x:c r="S198" s="200" t="n"/>
      <x:c r="T198" s="200" t="n"/>
      <x:c r="U198" s="200" t="n"/>
      <x:c r="V198" s="200" t="n"/>
      <x:c r="W198" s="200" t="n"/>
      <x:c r="X198" s="200" t="n"/>
      <x:c r="Y198" s="200" t="n"/>
      <x:c r="Z198" s="200" t="n"/>
    </x:row>
    <x:row r="199">
      <x:c r="A199" s="200" t="n"/>
      <x:c r="B199" s="200" t="n"/>
      <x:c r="C199" s="200" t="n"/>
      <x:c r="D199" s="200" t="n"/>
      <x:c r="E199" s="200" t="n"/>
      <x:c r="F199" s="200" t="n"/>
      <x:c r="G199" s="200" t="n"/>
      <x:c r="H199" s="200" t="n"/>
      <x:c r="I199" s="200" t="n"/>
      <x:c r="J199" s="200" t="n"/>
      <x:c r="K199" s="200" t="n"/>
      <x:c r="L199" s="200" t="n"/>
      <x:c r="M199" s="200" t="n"/>
      <x:c r="N199" s="200" t="n"/>
      <x:c r="O199" s="200" t="n"/>
      <x:c r="P199" s="200" t="n"/>
      <x:c r="Q199" s="200" t="n"/>
      <x:c r="R199" s="200" t="n"/>
      <x:c r="S199" s="200" t="n"/>
      <x:c r="T199" s="200" t="n"/>
      <x:c r="U199" s="200" t="n"/>
      <x:c r="V199" s="200" t="n"/>
      <x:c r="W199" s="200" t="n"/>
      <x:c r="X199" s="200" t="n"/>
      <x:c r="Y199" s="200" t="n"/>
      <x:c r="Z199" s="200" t="n"/>
    </x:row>
    <x:row r="200">
      <x:c r="A200" s="200" t="n"/>
      <x:c r="B200" s="200" t="n"/>
      <x:c r="C200" s="200" t="n"/>
      <x:c r="D200" s="200" t="n"/>
      <x:c r="E200" s="200" t="n"/>
      <x:c r="F200" s="200" t="n"/>
      <x:c r="G200" s="200" t="n"/>
      <x:c r="H200" s="200" t="n"/>
      <x:c r="I200" s="200" t="n"/>
      <x:c r="J200" s="200" t="n"/>
      <x:c r="K200" s="200" t="n"/>
      <x:c r="L200" s="200" t="n"/>
      <x:c r="M200" s="200" t="n"/>
      <x:c r="N200" s="200" t="n"/>
      <x:c r="O200" s="200" t="n"/>
      <x:c r="P200" s="200" t="n"/>
      <x:c r="Q200" s="200" t="n"/>
      <x:c r="R200" s="200" t="n"/>
      <x:c r="S200" s="200" t="n"/>
      <x:c r="T200" s="200" t="n"/>
      <x:c r="U200" s="200" t="n"/>
      <x:c r="V200" s="200" t="n"/>
      <x:c r="W200" s="200" t="n"/>
      <x:c r="X200" s="200" t="n"/>
      <x:c r="Y200" s="200" t="n"/>
      <x:c r="Z200" s="200" t="n"/>
    </x:row>
  </x:sheetData>
  <x:pageMargins left="0.7" right="0.7" top="0.75" bottom="0.75" header="0.3" footer="0.3"/>
  <x:tableParts count="1">
    <x:tablePart xmlns:r="http://schemas.openxmlformats.org/officeDocument/2006/relationships" r:id="R438eed3c816e493b"/>
  </x:tableParts>
</x:worksheet>
</file>

<file path=xl/worksheets/sheet6.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15" style="198" customWidth="1"/>
    <x:col min="5" max="5" width="21" style="198" customWidth="1"/>
    <x:col min="6" max="6" width="31" style="198" customWidth="1"/>
    <x:col min="7" max="7" width="33" style="198" customWidth="1"/>
    <x:col min="8" max="8" width="10" style="198" customWidth="1"/>
    <x:col min="9" max="9" width="34" style="198" customWidth="1"/>
    <x:col min="10" max="10" width="21" style="198" customWidth="1"/>
    <x:col min="11" max="11" width="40" style="198" customWidth="1"/>
    <x:col min="12" max="12" width="21" style="198" customWidth="1"/>
    <x:col min="13" max="13" width="10" style="198" customWidth="1"/>
    <x:col min="14" max="14" width="30" style="198" customWidth="1"/>
    <x:col min="15" max="15" width="18" style="198" customWidth="1"/>
    <x:col min="16" max="16" width="40" style="198" customWidth="1"/>
    <x:col min="17" max="17" width="13" style="198" customWidth="1"/>
    <x:col min="18" max="18" width="13" style="198" customWidth="1"/>
    <x:col min="19" max="19" width="40" style="198" customWidth="1"/>
    <x:col min="20" max="20" width="40"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Item ID</x:t>
        </x:is>
      </x:c>
      <x:c r="B1" s="363" t="inlineStr">
        <x:is>
          <x:t xml:space="preserve">Compound</x:t>
        </x:is>
      </x:c>
      <x:c r="C1" s="363" t="inlineStr">
        <x:is>
          <x:t xml:space="preserve">Compound Type</x:t>
        </x:is>
      </x:c>
      <x:c r="D1" s="363" t="inlineStr">
        <x:is>
          <x:t xml:space="preserve">Strength (mg)</x:t>
        </x:is>
      </x:c>
      <x:c r="E1" s="363" t="inlineStr">
        <x:is>
          <x:t xml:space="preserve">Actual Content (mg)</x:t>
        </x:is>
      </x:c>
      <x:c r="F1" s="363" t="inlineStr">
        <x:is>
          <x:t xml:space="preserve">Variance (mg)</x:t>
        </x:is>
      </x:c>
      <x:c r="G1" s="363" t="inlineStr">
        <x:is>
          <x:t xml:space="preserve">Variance %</x:t>
        </x:is>
      </x:c>
      <x:c r="H1" s="363" t="inlineStr">
        <x:is>
          <x:t xml:space="preserve">Purity %</x:t>
        </x:is>
      </x:c>
      <x:c r="I1" s="363" t="inlineStr">
        <x:is>
          <x:t xml:space="preserve">Batch/Lot</x:t>
        </x:is>
      </x:c>
      <x:c r="J1" s="363" t="inlineStr">
        <x:is>
          <x:t xml:space="preserve">Lab</x:t>
        </x:is>
      </x:c>
      <x:c r="K1" s="363" t="inlineStr">
        <x:is>
          <x:t xml:space="preserve">Status</x:t>
        </x:is>
      </x:c>
      <x:c r="L1" s="363" t="inlineStr">
        <x:is>
          <x:t xml:space="preserve">Last COA Date</x:t>
        </x:is>
      </x:c>
      <x:c r="M1" s="363" t="inlineStr">
        <x:is>
          <x:t xml:space="preserve">COA ID</x:t>
        </x:is>
      </x:c>
      <x:c r="N1" s="363" t="inlineStr">
        <x:is>
          <x:t xml:space="preserve">Report/Task #</x:t>
        </x:is>
      </x:c>
      <x:c r="O1" s="363" t="inlineStr">
        <x:is>
          <x:t xml:space="preserve">Verification Key</x:t>
        </x:is>
      </x:c>
      <x:c r="P1" s="363" t="inlineStr">
        <x:is>
          <x:t xml:space="preserve">Certificate Link</x:t>
        </x:is>
      </x:c>
      <x:c r="Q1" s="363" t="inlineStr">
        <x:is>
          <x:t xml:space="preserve">Cap Color</x:t>
        </x:is>
      </x:c>
      <x:c r="R1" s="363" t="inlineStr">
        <x:is>
          <x:t xml:space="preserve">Crimp Color</x:t>
        </x:is>
      </x:c>
      <x:c r="S1" s="363" t="inlineStr">
        <x:is>
          <x:t xml:space="preserve">Closure Notes</x:t>
        </x:is>
      </x:c>
      <x:c r="T1" s="363" t="inlineStr">
        <x:is>
          <x:t xml:space="preserve">Notes</x:t>
        </x:is>
      </x:c>
    </x:row>
    <x:row r="2">
      <x:c r="A2" s="361" t="inlineStr">
        <x:is>
          <x:t xml:space="preserve">COA-0001</x:t>
        </x:is>
      </x:c>
      <x:c r="B2" s="361" t="inlineStr">
        <x:is>
          <x:t xml:space="preserve">Retatrutide</x:t>
        </x:is>
      </x:c>
      <x:c r="C2" s="361" t="inlineStr">
        <x:is>
          <x:t xml:space="preserve">GLP-1 / Weight</x:t>
        </x:is>
      </x:c>
      <x:c r="D2" s="361" t="n">
        <x:v>10</x:v>
      </x:c>
      <x:c r="E2" s="361" t="n">
        <x:v>11.8</x:v>
      </x:c>
      <x:c r="F2" s="361" t="n">
        <x:v>1.800000000000001</x:v>
      </x:c>
      <x:c r="G2" s="364" t="n">
        <x:v>0.1800000000000001</x:v>
      </x:c>
      <x:c r="H2" s="362" t="n">
        <x:v>99.51600000000001</x:v>
      </x:c>
      <x:c r="I2" s="361" t="inlineStr">
        <x:is>
          <x:t xml:space="preserve">260425</x:t>
        </x:is>
      </x:c>
      <x:c r="J2" s="361" t="inlineStr">
        <x:is>
          <x:t xml:space="preserve">Janoshik</x:t>
        </x:is>
      </x:c>
      <x:c r="K2" s="365" t="inlineStr">
        <x:is>
          <x:t xml:space="preserve">Overfilled</x:t>
        </x:is>
      </x:c>
      <x:c r="L2" s="366" t="n">
        <x:v>46156</x:v>
      </x:c>
      <x:c r="M2" s="361" t="inlineStr">
        <x:is>
          <x:t xml:space="preserve">COA-0001</x:t>
        </x:is>
      </x:c>
      <x:c r="N2" s="361" t="inlineStr">
        <x:is>
          <x:t xml:space="preserve">#155137</x:t>
        </x:is>
      </x:c>
      <x:c r="O2" s="361" t="inlineStr">
        <x:is>
          <x:t xml:space="preserve">MLPR8T82ANB5</x:t>
        </x:is>
      </x:c>
      <x:c r="P2" s="376" t="inlineStr">
        <x:is>
          <x:t xml:space="preserve">https://janoshik.com/verify/MLPR8T82ANB5</x:t>
        </x:is>
      </x:c>
      <x:c r="Q2" s="368" t="inlineStr">
        <x:is>
          <x:t xml:space="preserve">Not Listed</x:t>
        </x:is>
      </x:c>
      <x:c r="R2" s="368" t="inlineStr">
        <x:is>
          <x:t xml:space="preserve">Not Listed</x:t>
        </x:is>
      </x:c>
      <x:c r="S2" s="361" t="inlineStr">
        <x:is>
          <x:t xml:space="preserve">Crimp/cap color not listed or visible in the COA/testing record.</x:t>
        </x:is>
      </x:c>
      <x:c r="T2" s="361" t="inlineStr">
        <x:is>
          <x:t xml:space="preserve">RT10 - common GLP-1 blind test; overfilled</x:t>
        </x:is>
      </x:c>
    </x:row>
    <x:row r="3">
      <x:c r="A3" s="361" t="inlineStr">
        <x:is>
          <x:t xml:space="preserve">COA-0002</x:t>
        </x:is>
      </x:c>
      <x:c r="B3" s="361" t="inlineStr">
        <x:is>
          <x:t xml:space="preserve">Retatrutide</x:t>
        </x:is>
      </x:c>
      <x:c r="C3" s="361" t="inlineStr">
        <x:is>
          <x:t xml:space="preserve">GLP-1 / Weight</x:t>
        </x:is>
      </x:c>
      <x:c r="D3" s="361" t="n">
        <x:v>10</x:v>
      </x:c>
      <x:c r="E3" s="361" t="n">
        <x:v>10</x:v>
      </x:c>
      <x:c r="F3" s="361" t="n">
        <x:v>0</x:v>
      </x:c>
      <x:c r="G3" s="364" t="n">
        <x:v>0</x:v>
      </x:c>
      <x:c r="H3" s="362" t="n">
        <x:v>99.369</x:v>
      </x:c>
      <x:c r="I3" s="361" t="inlineStr">
        <x:is>
          <x:t xml:space="preserve">2026.01.26.hva16</x:t>
        </x:is>
      </x:c>
      <x:c r="J3" s="361" t="inlineStr">
        <x:is>
          <x:t xml:space="preserve">Janoshik</x:t>
        </x:is>
      </x:c>
      <x:c r="K3" s="369" t="inlineStr">
        <x:is>
          <x:t xml:space="preserve">On label</x:t>
        </x:is>
      </x:c>
      <x:c r="L3" s="366" t="n">
        <x:v>46057</x:v>
      </x:c>
      <x:c r="M3" s="361" t="inlineStr">
        <x:is>
          <x:t xml:space="preserve">COA-0002</x:t>
        </x:is>
      </x:c>
      <x:c r="N3" s="361" t="inlineStr">
        <x:is>
          <x:t xml:space="preserve">#105187</x:t>
        </x:is>
      </x:c>
      <x:c r="O3" s="361" t="inlineStr">
        <x:is>
          <x:t xml:space="preserve">3UKCXZPJAWQR</x:t>
        </x:is>
      </x:c>
      <x:c r="P3" s="376" t="inlineStr">
        <x:is>
          <x:t xml:space="preserve">https://janoshik.com/verify/3UKCXZPJAWQR</x:t>
        </x:is>
      </x:c>
      <x:c r="Q3" s="368" t="inlineStr">
        <x:is>
          <x:t xml:space="preserve">Not Listed</x:t>
        </x:is>
      </x:c>
      <x:c r="R3" s="368" t="inlineStr">
        <x:is>
          <x:t xml:space="preserve">Not Listed</x:t>
        </x:is>
      </x:c>
      <x:c r="S3" s="361" t="inlineStr">
        <x:is>
          <x:t xml:space="preserve">Crimp/cap color not listed or visible in the COA/testing record.</x:t>
        </x:is>
      </x:c>
      <x:c r="T3" s="361" t="inlineStr">
        <x:is>
          <x:t xml:space="preserve">On label</x:t>
        </x:is>
      </x:c>
    </x:row>
    <x:row r="4">
      <x:c r="A4" s="361" t="inlineStr">
        <x:is>
          <x:t xml:space="preserve">COA-0003</x:t>
        </x:is>
      </x:c>
      <x:c r="B4" s="361" t="inlineStr">
        <x:is>
          <x:t xml:space="preserve">Retatrutide</x:t>
        </x:is>
      </x:c>
      <x:c r="C4" s="361" t="inlineStr">
        <x:is>
          <x:t xml:space="preserve">GLP-1 / Weight</x:t>
        </x:is>
      </x:c>
      <x:c r="D4" s="361" t="n">
        <x:v>5</x:v>
      </x:c>
      <x:c r="E4" s="361" t="n">
        <x:v>6.63</x:v>
      </x:c>
      <x:c r="F4" s="361" t="n">
        <x:v>1.63</x:v>
      </x:c>
      <x:c r="G4" s="364" t="n">
        <x:v>0.326</x:v>
      </x:c>
      <x:c r="H4" s="362" t="n">
        <x:v>99.654</x:v>
      </x:c>
      <x:c r="I4" s="361" t="inlineStr">
        <x:is>
          <x:t xml:space="preserve">Redacted</x:t>
        </x:is>
      </x:c>
      <x:c r="J4" s="361" t="inlineStr">
        <x:is>
          <x:t xml:space="preserve">Kovera Labs</x:t>
        </x:is>
      </x:c>
      <x:c r="K4" s="365" t="inlineStr">
        <x:is>
          <x:t xml:space="preserve">Overfilled</x:t>
        </x:is>
      </x:c>
      <x:c r="L4" s="366" t="n">
        <x:v>46174</x:v>
      </x:c>
      <x:c r="M4" s="361" t="inlineStr">
        <x:is>
          <x:t xml:space="preserve">COA-0003</x:t>
        </x:is>
      </x:c>
      <x:c r="N4" s="361" t="inlineStr">
        <x:is>
          <x:t xml:space="preserve">Redacted</x:t>
        </x:is>
      </x:c>
      <x:c r="O4" s="361" t="inlineStr">
        <x:is>
          <x:t xml:space="preserve">Redacted</x:t>
        </x:is>
      </x:c>
      <x:c r="P4" s="361" t="inlineStr">
        <x:is>
          <x:t xml:space="preserve"/>
        </x:is>
      </x:c>
      <x:c r="Q4" s="368" t="inlineStr">
        <x:is>
          <x:t xml:space="preserve">Not Listed</x:t>
        </x:is>
      </x:c>
      <x:c r="R4" s="368" t="inlineStr">
        <x:is>
          <x:t xml:space="preserve">Not Listed</x:t>
        </x:is>
      </x:c>
      <x:c r="S4" s="361" t="inlineStr">
        <x:is>
          <x:t xml:space="preserve">Crimp/cap color not listed or visible in the COA/testing record.</x:t>
        </x:is>
      </x:c>
      <x:c r="T4" s="361" t="inlineStr">
        <x:is>
          <x:t xml:space="preserve">Heavy metals negative; endotoxin pass</x:t>
        </x:is>
      </x:c>
    </x:row>
    <x:row r="5">
      <x:c r="A5" s="361" t="inlineStr">
        <x:is>
          <x:t xml:space="preserve">COA-0004</x:t>
        </x:is>
      </x:c>
      <x:c r="B5" s="361" t="inlineStr">
        <x:is>
          <x:t xml:space="preserve">Retatrutide</x:t>
        </x:is>
      </x:c>
      <x:c r="C5" s="361" t="inlineStr">
        <x:is>
          <x:t xml:space="preserve">GLP-1 / Weight</x:t>
        </x:is>
      </x:c>
      <x:c r="D5" s="361" t="n">
        <x:v>15</x:v>
      </x:c>
      <x:c r="E5" s="361" t="n">
        <x:v>17.93</x:v>
      </x:c>
      <x:c r="F5" s="361" t="n">
        <x:v>2.93</x:v>
      </x:c>
      <x:c r="G5" s="364" t="n">
        <x:v>0.1953333333333333</x:v>
      </x:c>
      <x:c r="H5" s="362" t="n">
        <x:v>99.491</x:v>
      </x:c>
      <x:c r="I5" s="361" t="inlineStr">
        <x:is>
          <x:t xml:space="preserve">Redacted</x:t>
        </x:is>
      </x:c>
      <x:c r="J5" s="361" t="inlineStr">
        <x:is>
          <x:t xml:space="preserve">Kovera Labs</x:t>
        </x:is>
      </x:c>
      <x:c r="K5" s="365" t="inlineStr">
        <x:is>
          <x:t xml:space="preserve">Overfilled</x:t>
        </x:is>
      </x:c>
      <x:c r="L5" s="366" t="n">
        <x:v>46175</x:v>
      </x:c>
      <x:c r="M5" s="361" t="inlineStr">
        <x:is>
          <x:t xml:space="preserve">COA-0004</x:t>
        </x:is>
      </x:c>
      <x:c r="N5" s="361" t="inlineStr">
        <x:is>
          <x:t xml:space="preserve">Redacted</x:t>
        </x:is>
      </x:c>
      <x:c r="O5" s="361" t="inlineStr">
        <x:is>
          <x:t xml:space="preserve">Redacted</x:t>
        </x:is>
      </x:c>
      <x:c r="P5" s="361" t="inlineStr">
        <x:is>
          <x:t xml:space="preserve"/>
        </x:is>
      </x:c>
      <x:c r="Q5" s="368" t="inlineStr">
        <x:is>
          <x:t xml:space="preserve">Not Listed</x:t>
        </x:is>
      </x:c>
      <x:c r="R5" s="368" t="inlineStr">
        <x:is>
          <x:t xml:space="preserve">Not Listed</x:t>
        </x:is>
      </x:c>
      <x:c r="S5" s="361" t="inlineStr">
        <x:is>
          <x:t xml:space="preserve">Crimp/cap color not listed or visible in the COA/testing record.</x:t>
        </x:is>
      </x:c>
      <x:c r="T5" s="361" t="inlineStr">
        <x:is>
          <x:t xml:space="preserve">Heavy metals negative; endotoxin pass</x:t>
        </x:is>
      </x:c>
    </x:row>
    <x:row r="6">
      <x:c r="A6" s="361" t="inlineStr">
        <x:is>
          <x:t xml:space="preserve">COA-0005</x:t>
        </x:is>
      </x:c>
      <x:c r="B6" s="361" t="inlineStr">
        <x:is>
          <x:t xml:space="preserve">Retatrutide</x:t>
        </x:is>
      </x:c>
      <x:c r="C6" s="361" t="inlineStr">
        <x:is>
          <x:t xml:space="preserve">GLP-1 / Weight</x:t>
        </x:is>
      </x:c>
      <x:c r="D6" s="361" t="n">
        <x:v>10</x:v>
      </x:c>
      <x:c r="E6" s="361" t="n">
        <x:v>11.77</x:v>
      </x:c>
      <x:c r="F6" s="361" t="n">
        <x:v>1.77</x:v>
      </x:c>
      <x:c r="G6" s="364" t="n">
        <x:v>0.177</x:v>
      </x:c>
      <x:c r="H6" s="362" t="n">
        <x:v>99.96299999999999</x:v>
      </x:c>
      <x:c r="I6" s="361" t="inlineStr">
        <x:is>
          <x:t xml:space="preserve">RT10-0331</x:t>
        </x:is>
      </x:c>
      <x:c r="J6" s="361" t="inlineStr">
        <x:is>
          <x:t xml:space="preserve">Kovera Labs</x:t>
        </x:is>
      </x:c>
      <x:c r="K6" s="365" t="inlineStr">
        <x:is>
          <x:t xml:space="preserve">Overfilled</x:t>
        </x:is>
      </x:c>
      <x:c r="L6" s="366" t="n">
        <x:v>46117</x:v>
      </x:c>
      <x:c r="M6" s="361" t="inlineStr">
        <x:is>
          <x:t xml:space="preserve">COA-0005</x:t>
        </x:is>
      </x:c>
      <x:c r="N6" s="361" t="inlineStr">
        <x:is>
          <x:t xml:space="preserve">KVR-2026-A91FF9</x:t>
        </x:is>
      </x:c>
      <x:c r="O6" s="361" t="inlineStr">
        <x:is>
          <x:t xml:space="preserve">N/A</x:t>
        </x:is>
      </x:c>
      <x:c r="P6" s="361" t="inlineStr">
        <x:is>
          <x:t xml:space="preserve"/>
        </x:is>
      </x:c>
      <x:c r="Q6" s="368" t="inlineStr">
        <x:is>
          <x:t xml:space="preserve">Not Listed</x:t>
        </x:is>
      </x:c>
      <x:c r="R6" s="368" t="inlineStr">
        <x:is>
          <x:t xml:space="preserve">Not Listed</x:t>
        </x:is>
      </x:c>
      <x:c r="S6" s="361" t="inlineStr">
        <x:is>
          <x:t xml:space="preserve">Crimp/cap color not listed or visible in the COA/testing record.</x:t>
        </x:is>
      </x:c>
      <x:c r="T6" s="361" t="inlineStr">
        <x:is>
          <x:t xml:space="preserve">Trivial-3R / Retatrutide; batch avg</x:t>
        </x:is>
      </x:c>
    </x:row>
    <x:row r="7">
      <x:c r="A7" s="361" t="inlineStr">
        <x:is>
          <x:t xml:space="preserve">COA-0006</x:t>
        </x:is>
      </x:c>
      <x:c r="B7" s="361" t="inlineStr">
        <x:is>
          <x:t xml:space="preserve">Retatrutide</x:t>
        </x:is>
      </x:c>
      <x:c r="C7" s="361" t="inlineStr">
        <x:is>
          <x:t xml:space="preserve">GLP-1 / Weight</x:t>
        </x:is>
      </x:c>
      <x:c r="D7" s="361" t="n"/>
      <x:c r="E7" s="361" t="n">
        <x:v>22.47</x:v>
      </x:c>
      <x:c r="F7" s="361" t="str">
        <x:f>IF(OR(D7="",E7=""),"",E7-D7)</x:f>
      </x:c>
      <x:c r="G7" s="364" t="str">
        <x:f>IF(OR(D7="",E7=""),"",E7/D7-1)</x:f>
      </x:c>
      <x:c r="H7" s="362" t="n">
        <x:v>99.5</x:v>
      </x:c>
      <x:c r="I7" s="361" t="inlineStr">
        <x:is>
          <x:t xml:space="preserve">Not provided</x:t>
        </x:is>
      </x:c>
      <x:c r="J7" s="361" t="inlineStr">
        <x:is>
          <x:t xml:space="preserve">Aminos Analytics</x:t>
        </x:is>
      </x:c>
      <x:c r="K7" s="370" t="str">
        <x:f>IF(G7="","Review",IF(G7&gt;0.03,"Overfilled",IF(G7&lt;-0.03,"Underfilled","On label")))</x:f>
        <x:v>Review</x:v>
      </x:c>
      <x:c r="L7" s="366" t="n">
        <x:v>46146</x:v>
      </x:c>
      <x:c r="M7" s="361" t="inlineStr">
        <x:is>
          <x:t xml:space="preserve">COA-0006</x:t>
        </x:is>
      </x:c>
      <x:c r="N7" s="361" t="inlineStr">
        <x:is>
          <x:t xml:space="preserve">Redacted</x:t>
        </x:is>
      </x:c>
      <x:c r="O7" s="361" t="inlineStr">
        <x:is>
          <x:t xml:space="preserve">N/A</x:t>
        </x:is>
      </x:c>
      <x:c r="P7" s="361" t="inlineStr">
        <x:is>
          <x:t xml:space="preserve"/>
        </x:is>
      </x:c>
      <x:c r="Q7" s="368" t="inlineStr">
        <x:is>
          <x:t xml:space="preserve">Not Listed</x:t>
        </x:is>
      </x:c>
      <x:c r="R7" s="368" t="inlineStr">
        <x:is>
          <x:t xml:space="preserve">Not Listed</x:t>
        </x:is>
      </x:c>
      <x:c r="S7" s="361" t="inlineStr">
        <x:is>
          <x:t xml:space="preserve">Crimp/cap color not listed or visible in the COA/testing record.</x:t>
        </x:is>
      </x:c>
      <x:c r="T7" s="361" t="inlineStr">
        <x:is>
          <x:t xml:space="preserve">Labeled quantity unclear from image</x:t>
        </x:is>
      </x:c>
    </x:row>
    <x:row r="8">
      <x:c r="A8" s="361" t="inlineStr">
        <x:is>
          <x:t xml:space="preserve">COA-0007</x:t>
        </x:is>
      </x:c>
      <x:c r="B8" s="361" t="inlineStr">
        <x:is>
          <x:t xml:space="preserve">Tirzepatide</x:t>
        </x:is>
      </x:c>
      <x:c r="C8" s="361" t="inlineStr">
        <x:is>
          <x:t xml:space="preserve">GLP-1 / Weight</x:t>
        </x:is>
      </x:c>
      <x:c r="D8" s="361" t="n">
        <x:v>20</x:v>
      </x:c>
      <x:c r="E8" s="361" t="n">
        <x:v>26</x:v>
      </x:c>
      <x:c r="F8" s="361" t="n">
        <x:v>6</x:v>
      </x:c>
      <x:c r="G8" s="364" t="n">
        <x:v>0.3</x:v>
      </x:c>
      <x:c r="H8" s="362" t="n">
        <x:v>99.7</x:v>
      </x:c>
      <x:c r="I8" s="361" t="inlineStr">
        <x:is>
          <x:t xml:space="preserve">0426royal</x:t>
        </x:is>
      </x:c>
      <x:c r="J8" s="361" t="inlineStr">
        <x:is>
          <x:t xml:space="preserve">BT Labs</x:t>
        </x:is>
      </x:c>
      <x:c r="K8" s="365" t="inlineStr">
        <x:is>
          <x:t xml:space="preserve">Overfilled</x:t>
        </x:is>
      </x:c>
      <x:c r="L8" s="366" t="n">
        <x:v>46133</x:v>
      </x:c>
      <x:c r="M8" s="361" t="inlineStr">
        <x:is>
          <x:t xml:space="preserve">COA-0007</x:t>
        </x:is>
      </x:c>
      <x:c r="N8" s="361" t="inlineStr">
        <x:is>
          <x:t xml:space="preserve">IF-824-QSA-TR006-BTL26263-02</x:t>
        </x:is>
      </x:c>
      <x:c r="O8" s="361" t="inlineStr">
        <x:is>
          <x:t xml:space="preserve">N/A</x:t>
        </x:is>
      </x:c>
      <x:c r="P8" s="361" t="inlineStr">
        <x:is>
          <x:t xml:space="preserve"/>
        </x:is>
      </x:c>
      <x:c r="Q8" s="371" t="inlineStr">
        <x:is>
          <x:t xml:space="preserve">Royal Blue</x:t>
        </x:is>
      </x:c>
      <x:c r="R8" s="368" t="inlineStr">
        <x:is>
          <x:t xml:space="preserve">Not Listed</x:t>
        </x:is>
      </x:c>
      <x:c r="S8" s="361" t="inlineStr">
        <x:is>
          <x:t xml:space="preserve">Cap color copied from COA/batch descriptor: 0426royal.</x:t>
        </x:is>
      </x:c>
      <x:c r="T8" s="361" t="inlineStr">
        <x:is>
          <x:t xml:space="preserve">20 mg label; 130.1% potency</x:t>
        </x:is>
      </x:c>
    </x:row>
    <x:row r="9">
      <x:c r="A9" s="361" t="inlineStr">
        <x:is>
          <x:t xml:space="preserve">COA-0008</x:t>
        </x:is>
      </x:c>
      <x:c r="B9" s="361" t="inlineStr">
        <x:is>
          <x:t xml:space="preserve">Tirzepatide</x:t>
        </x:is>
      </x:c>
      <x:c r="C9" s="361" t="inlineStr">
        <x:is>
          <x:t xml:space="preserve">GLP-1 / Weight</x:t>
        </x:is>
      </x:c>
      <x:c r="D9" s="361" t="n">
        <x:v>40</x:v>
      </x:c>
      <x:c r="E9" s="361" t="n">
        <x:v>46.6</x:v>
      </x:c>
      <x:c r="F9" s="361" t="n">
        <x:v>6.600000000000001</x:v>
      </x:c>
      <x:c r="G9" s="364" t="n">
        <x:v>0.165</x:v>
      </x:c>
      <x:c r="H9" s="362" t="n">
        <x:v>99.7</x:v>
      </x:c>
      <x:c r="I9" s="361" t="inlineStr">
        <x:is>
          <x:t xml:space="preserve">0325GrayStorm</x:t>
        </x:is>
      </x:c>
      <x:c r="J9" s="361" t="inlineStr">
        <x:is>
          <x:t xml:space="preserve">BT Labs</x:t>
        </x:is>
      </x:c>
      <x:c r="K9" s="365" t="inlineStr">
        <x:is>
          <x:t xml:space="preserve">Overfilled</x:t>
        </x:is>
      </x:c>
      <x:c r="L9" s="366" t="n">
        <x:v>46106</x:v>
      </x:c>
      <x:c r="M9" s="361" t="inlineStr">
        <x:is>
          <x:t xml:space="preserve">COA-0008</x:t>
        </x:is>
      </x:c>
      <x:c r="N9" s="361" t="inlineStr">
        <x:is>
          <x:t xml:space="preserve">IF-824-QSA-TR006-BTL2695-01</x:t>
        </x:is>
      </x:c>
      <x:c r="O9" s="361" t="inlineStr">
        <x:is>
          <x:t xml:space="preserve">N/A</x:t>
        </x:is>
      </x:c>
      <x:c r="P9" s="361" t="inlineStr">
        <x:is>
          <x:t xml:space="preserve"/>
        </x:is>
      </x:c>
      <x:c r="Q9" s="372" t="inlineStr">
        <x:is>
          <x:t xml:space="preserve">Gray</x:t>
        </x:is>
      </x:c>
      <x:c r="R9" s="368" t="inlineStr">
        <x:is>
          <x:t xml:space="preserve">Not Listed</x:t>
        </x:is>
      </x:c>
      <x:c r="S9" s="361" t="inlineStr">
        <x:is>
          <x:t xml:space="preserve">Cap color copied from COA/batch descriptor: 0325GrayStorm.</x:t>
        </x:is>
      </x:c>
      <x:c r="T9" s="361" t="inlineStr">
        <x:is>
          <x:t xml:space="preserve">40 mg label; 116.4% potency</x:t>
        </x:is>
      </x:c>
    </x:row>
    <x:row r="10">
      <x:c r="A10" s="361" t="inlineStr">
        <x:is>
          <x:t xml:space="preserve">COA-0009</x:t>
        </x:is>
      </x:c>
      <x:c r="B10" s="361" t="inlineStr">
        <x:is>
          <x:t xml:space="preserve">Tirzepatide</x:t>
        </x:is>
      </x:c>
      <x:c r="C10" s="361" t="inlineStr">
        <x:is>
          <x:t xml:space="preserve">GLP-1 / Weight</x:t>
        </x:is>
      </x:c>
      <x:c r="D10" s="361" t="n">
        <x:v>60</x:v>
      </x:c>
      <x:c r="E10" s="361" t="n">
        <x:v>65.09999999999999</x:v>
      </x:c>
      <x:c r="F10" s="361" t="n">
        <x:v>5.099999999999994</x:v>
      </x:c>
      <x:c r="G10" s="364" t="n">
        <x:v>0.08499999999999991</x:v>
      </x:c>
      <x:c r="H10" s="362" t="n">
        <x:v>99.8</x:v>
      </x:c>
      <x:c r="I10" s="361" t="inlineStr">
        <x:is>
          <x:t xml:space="preserve">0426goldrush</x:t>
        </x:is>
      </x:c>
      <x:c r="J10" s="361" t="inlineStr">
        <x:is>
          <x:t xml:space="preserve">BT Labs</x:t>
        </x:is>
      </x:c>
      <x:c r="K10" s="365" t="inlineStr">
        <x:is>
          <x:t xml:space="preserve">Overfilled</x:t>
        </x:is>
      </x:c>
      <x:c r="L10" s="366" t="n">
        <x:v>46133</x:v>
      </x:c>
      <x:c r="M10" s="361" t="inlineStr">
        <x:is>
          <x:t xml:space="preserve">COA-0009</x:t>
        </x:is>
      </x:c>
      <x:c r="N10" s="361" t="inlineStr">
        <x:is>
          <x:t xml:space="preserve">IF-824-QSA-TR006-BTL26263-01</x:t>
        </x:is>
      </x:c>
      <x:c r="O10" s="361" t="inlineStr">
        <x:is>
          <x:t xml:space="preserve">N/A</x:t>
        </x:is>
      </x:c>
      <x:c r="P10" s="361" t="inlineStr">
        <x:is>
          <x:t xml:space="preserve"/>
        </x:is>
      </x:c>
      <x:c r="Q10" s="373" t="inlineStr">
        <x:is>
          <x:t xml:space="preserve">Gold</x:t>
        </x:is>
      </x:c>
      <x:c r="R10" s="368" t="inlineStr">
        <x:is>
          <x:t xml:space="preserve">Not Listed</x:t>
        </x:is>
      </x:c>
      <x:c r="S10" s="361" t="inlineStr">
        <x:is>
          <x:t xml:space="preserve">Cap color copied from COA/batch descriptor: 0426goldrush.</x:t>
        </x:is>
      </x:c>
      <x:c r="T10" s="361" t="inlineStr">
        <x:is>
          <x:t xml:space="preserve">60 mg label; 108.5% potency</x:t>
        </x:is>
      </x:c>
    </x:row>
    <x:row r="11">
      <x:c r="A11" s="361" t="inlineStr">
        <x:is>
          <x:t xml:space="preserve">COA-0010</x:t>
        </x:is>
      </x:c>
      <x:c r="B11" s="361" t="inlineStr">
        <x:is>
          <x:t xml:space="preserve">Tirzepatide</x:t>
        </x:is>
      </x:c>
      <x:c r="C11" s="361" t="inlineStr">
        <x:is>
          <x:t xml:space="preserve">GLP-1 / Weight</x:t>
        </x:is>
      </x:c>
      <x:c r="D11" s="361" t="n">
        <x:v>30</x:v>
      </x:c>
      <x:c r="E11" s="361" t="n">
        <x:v>32.5</x:v>
      </x:c>
      <x:c r="F11" s="361" t="n">
        <x:v>2.5</x:v>
      </x:c>
      <x:c r="G11" s="364" t="n">
        <x:v>0.08333333333333333</x:v>
      </x:c>
      <x:c r="H11" s="362" t="n">
        <x:v>99.84</x:v>
      </x:c>
      <x:c r="I11" s="361" t="inlineStr">
        <x:is>
          <x:t xml:space="preserve">2026.01.26.hva16</x:t>
        </x:is>
      </x:c>
      <x:c r="J11" s="361" t="inlineStr">
        <x:is>
          <x:t xml:space="preserve">Janoshik</x:t>
        </x:is>
      </x:c>
      <x:c r="K11" s="365" t="inlineStr">
        <x:is>
          <x:t xml:space="preserve">Overfilled</x:t>
        </x:is>
      </x:c>
      <x:c r="L11" s="366" t="n">
        <x:v>46059</x:v>
      </x:c>
      <x:c r="M11" s="361" t="inlineStr">
        <x:is>
          <x:t xml:space="preserve">COA-0010</x:t>
        </x:is>
      </x:c>
      <x:c r="N11" s="361" t="inlineStr">
        <x:is>
          <x:t xml:space="preserve">#106031</x:t>
        </x:is>
      </x:c>
      <x:c r="O11" s="361" t="inlineStr">
        <x:is>
          <x:t xml:space="preserve">GH4JPK2IUTGP</x:t>
        </x:is>
      </x:c>
      <x:c r="P11" s="376" t="inlineStr">
        <x:is>
          <x:t xml:space="preserve">https://janoshik.com/verify/GH4JPK2IUTGP</x:t>
        </x:is>
      </x:c>
      <x:c r="Q11" s="368" t="inlineStr">
        <x:is>
          <x:t xml:space="preserve">Not Listed</x:t>
        </x:is>
      </x:c>
      <x:c r="R11" s="368" t="inlineStr">
        <x:is>
          <x:t xml:space="preserve">Not Listed</x:t>
        </x:is>
      </x:c>
      <x:c r="S11" s="361" t="inlineStr">
        <x:is>
          <x:t xml:space="preserve">Crimp/cap color not listed or visible in the COA/testing record.</x:t>
        </x:is>
      </x:c>
      <x:c r="T11" s="361" t="inlineStr">
        <x:is>
          <x:t xml:space="preserve">30 mg label</x:t>
        </x:is>
      </x:c>
    </x:row>
    <x:row r="12">
      <x:c r="A12" s="361" t="inlineStr">
        <x:is>
          <x:t xml:space="preserve">COA-0011</x:t>
        </x:is>
      </x:c>
      <x:c r="B12" s="361" t="inlineStr">
        <x:is>
          <x:t xml:space="preserve">Cagrilintide</x:t>
        </x:is>
      </x:c>
      <x:c r="C12" s="361" t="inlineStr">
        <x:is>
          <x:t xml:space="preserve">GLP-1 / Weight</x:t>
        </x:is>
      </x:c>
      <x:c r="D12" s="361" t="n">
        <x:v>10</x:v>
      </x:c>
      <x:c r="E12" s="361" t="n">
        <x:v>10.47</x:v>
      </x:c>
      <x:c r="F12" s="361" t="n">
        <x:v>0.4700000000000006</x:v>
      </x:c>
      <x:c r="G12" s="364" t="n">
        <x:v>0.04700000000000006</x:v>
      </x:c>
      <x:c r="H12" s="362" t="n">
        <x:v>99.04000000000001</x:v>
      </x:c>
      <x:c r="I12" s="361" t="inlineStr">
        <x:is>
          <x:t xml:space="preserve">260425</x:t>
        </x:is>
      </x:c>
      <x:c r="J12" s="361" t="inlineStr">
        <x:is>
          <x:t xml:space="preserve">Janoshik</x:t>
        </x:is>
      </x:c>
      <x:c r="K12" s="369" t="inlineStr">
        <x:is>
          <x:t xml:space="preserve">On label</x:t>
        </x:is>
      </x:c>
      <x:c r="L12" s="366" t="n">
        <x:v>46155</x:v>
      </x:c>
      <x:c r="M12" s="361" t="inlineStr">
        <x:is>
          <x:t xml:space="preserve">COA-0011</x:t>
        </x:is>
      </x:c>
      <x:c r="N12" s="361" t="inlineStr">
        <x:is>
          <x:t xml:space="preserve">#155157</x:t>
        </x:is>
      </x:c>
      <x:c r="O12" s="361" t="inlineStr">
        <x:is>
          <x:t xml:space="preserve">YEM8I1Y94JVT</x:t>
        </x:is>
      </x:c>
      <x:c r="P12" s="376" t="inlineStr">
        <x:is>
          <x:t xml:space="preserve">https://janoshik.com/verify/YEM8I1Y94JVT</x:t>
        </x:is>
      </x:c>
      <x:c r="Q12" s="368" t="inlineStr">
        <x:is>
          <x:t xml:space="preserve">Not Listed</x:t>
        </x:is>
      </x:c>
      <x:c r="R12" s="368" t="inlineStr">
        <x:is>
          <x:t xml:space="preserve">Not Listed</x:t>
        </x:is>
      </x:c>
      <x:c r="S12" s="361" t="inlineStr">
        <x:is>
          <x:t xml:space="preserve">Crimp/cap color not listed or visible in the COA/testing record.</x:t>
        </x:is>
      </x:c>
      <x:c r="T12" s="361" t="inlineStr">
        <x:is>
          <x:t xml:space="preserve">Overfilled</x:t>
        </x:is>
      </x:c>
    </x:row>
    <x:row r="13">
      <x:c r="A13" s="361" t="inlineStr">
        <x:is>
          <x:t xml:space="preserve">COA-0012</x:t>
        </x:is>
      </x:c>
      <x:c r="B13" s="361" t="inlineStr">
        <x:is>
          <x:t xml:space="preserve">AOD-9604</x:t>
        </x:is>
      </x:c>
      <x:c r="C13" s="361" t="inlineStr">
        <x:is>
          <x:t xml:space="preserve">Metabolic / Fat Loss</x:t>
        </x:is>
      </x:c>
      <x:c r="D13" s="361" t="n">
        <x:v>5</x:v>
      </x:c>
      <x:c r="E13" s="361" t="n">
        <x:v>5.95</x:v>
      </x:c>
      <x:c r="F13" s="361" t="n">
        <x:v>0.9500000000000002</x:v>
      </x:c>
      <x:c r="G13" s="364" t="n">
        <x:v>0.19</x:v>
      </x:c>
      <x:c r="H13" s="362" t="n">
        <x:v>99.883</x:v>
      </x:c>
      <x:c r="I13" s="361" t="inlineStr">
        <x:is>
          <x:t xml:space="preserve">260425</x:t>
        </x:is>
      </x:c>
      <x:c r="J13" s="361" t="inlineStr">
        <x:is>
          <x:t xml:space="preserve">Janoshik</x:t>
        </x:is>
      </x:c>
      <x:c r="K13" s="365" t="inlineStr">
        <x:is>
          <x:t xml:space="preserve">Overfilled</x:t>
        </x:is>
      </x:c>
      <x:c r="L13" s="366" t="n">
        <x:v>46156</x:v>
      </x:c>
      <x:c r="M13" s="361" t="inlineStr">
        <x:is>
          <x:t xml:space="preserve">COA-0012</x:t>
        </x:is>
      </x:c>
      <x:c r="N13" s="361" t="inlineStr">
        <x:is>
          <x:t xml:space="preserve">#155207</x:t>
        </x:is>
      </x:c>
      <x:c r="O13" s="361" t="inlineStr">
        <x:is>
          <x:t xml:space="preserve">R61XS7CAKNZS</x:t>
        </x:is>
      </x:c>
      <x:c r="P13" s="376" t="inlineStr">
        <x:is>
          <x:t xml:space="preserve">https://janoshik.com/verify/R61XS7CAKNZS</x:t>
        </x:is>
      </x:c>
      <x:c r="Q13" s="368" t="inlineStr">
        <x:is>
          <x:t xml:space="preserve">Not Listed</x:t>
        </x:is>
      </x:c>
      <x:c r="R13" s="368" t="inlineStr">
        <x:is>
          <x:t xml:space="preserve">Not Listed</x:t>
        </x:is>
      </x:c>
      <x:c r="S13" s="361" t="inlineStr">
        <x:is>
          <x:t xml:space="preserve">Crimp/cap color not listed or visible in the COA/testing record.</x:t>
        </x:is>
      </x:c>
      <x:c r="T13" s="361" t="inlineStr">
        <x:is>
          <x:t xml:space="preserve">rHGH fragment / AOD-9604</x:t>
        </x:is>
      </x:c>
    </x:row>
    <x:row r="14">
      <x:c r="A14" s="361" t="inlineStr">
        <x:is>
          <x:t xml:space="preserve">COA-0013</x:t>
        </x:is>
      </x:c>
      <x:c r="B14" s="361" t="inlineStr">
        <x:is>
          <x:t xml:space="preserve">MOTS-C</x:t>
        </x:is>
      </x:c>
      <x:c r="C14" s="361" t="inlineStr">
        <x:is>
          <x:t xml:space="preserve">Metabolic / Mito</x:t>
        </x:is>
      </x:c>
      <x:c r="D14" s="361" t="n">
        <x:v>10</x:v>
      </x:c>
      <x:c r="E14" s="361" t="n">
        <x:v>10.58</x:v>
      </x:c>
      <x:c r="F14" s="361" t="n">
        <x:v>0.5800000000000001</x:v>
      </x:c>
      <x:c r="G14" s="364" t="n">
        <x:v>0.05800000000000001</x:v>
      </x:c>
      <x:c r="H14" s="362" t="n">
        <x:v>99.84699999999999</x:v>
      </x:c>
      <x:c r="I14" s="361" t="inlineStr">
        <x:is>
          <x:t xml:space="preserve">2026.01.26.hva16</x:t>
        </x:is>
      </x:c>
      <x:c r="J14" s="361" t="inlineStr">
        <x:is>
          <x:t xml:space="preserve">Janoshik</x:t>
        </x:is>
      </x:c>
      <x:c r="K14" s="365" t="inlineStr">
        <x:is>
          <x:t xml:space="preserve">Overfilled</x:t>
        </x:is>
      </x:c>
      <x:c r="L14" s="366" t="n">
        <x:v>46057</x:v>
      </x:c>
      <x:c r="M14" s="361" t="inlineStr">
        <x:is>
          <x:t xml:space="preserve">COA-0013</x:t>
        </x:is>
      </x:c>
      <x:c r="N14" s="361" t="inlineStr">
        <x:is>
          <x:t xml:space="preserve">#105204</x:t>
        </x:is>
      </x:c>
      <x:c r="O14" s="361" t="inlineStr">
        <x:is>
          <x:t xml:space="preserve">PZAGRTQCMKEN</x:t>
        </x:is>
      </x:c>
      <x:c r="P14" s="376" t="inlineStr">
        <x:is>
          <x:t xml:space="preserve">https://janoshik.com/verify/PZAGRTQCMKEN</x:t>
        </x:is>
      </x:c>
      <x:c r="Q14" s="368" t="inlineStr">
        <x:is>
          <x:t xml:space="preserve">Not Listed</x:t>
        </x:is>
      </x:c>
      <x:c r="R14" s="368" t="inlineStr">
        <x:is>
          <x:t xml:space="preserve">Not Listed</x:t>
        </x:is>
      </x:c>
      <x:c r="S14" s="361" t="inlineStr">
        <x:is>
          <x:t xml:space="preserve">Crimp/cap color not listed or visible in the COA/testing record.</x:t>
        </x:is>
      </x:c>
      <x:c r="T14" s="361" t="inlineStr">
        <x:is>
          <x:t xml:space="preserve">10 mg label</x:t>
        </x:is>
      </x:c>
    </x:row>
    <x:row r="15">
      <x:c r="A15" s="361" t="inlineStr">
        <x:is>
          <x:t xml:space="preserve">COA-0014</x:t>
        </x:is>
      </x:c>
      <x:c r="B15" s="361" t="inlineStr">
        <x:is>
          <x:t xml:space="preserve">MOTS-C</x:t>
        </x:is>
      </x:c>
      <x:c r="C15" s="361" t="inlineStr">
        <x:is>
          <x:t xml:space="preserve">Metabolic / Mito</x:t>
        </x:is>
      </x:c>
      <x:c r="D15" s="361" t="n">
        <x:v>10</x:v>
      </x:c>
      <x:c r="E15" s="361" t="n">
        <x:v>11.17</x:v>
      </x:c>
      <x:c r="F15" s="361" t="n">
        <x:v>1.17</x:v>
      </x:c>
      <x:c r="G15" s="364" t="n">
        <x:v>0.117</x:v>
      </x:c>
      <x:c r="H15" s="362" t="n">
        <x:v>99.05500000000001</x:v>
      </x:c>
      <x:c r="I15" s="361" t="inlineStr">
        <x:is>
          <x:t xml:space="preserve">260425</x:t>
        </x:is>
      </x:c>
      <x:c r="J15" s="361" t="inlineStr">
        <x:is>
          <x:t xml:space="preserve">Janoshik</x:t>
        </x:is>
      </x:c>
      <x:c r="K15" s="365" t="inlineStr">
        <x:is>
          <x:t xml:space="preserve">Overfilled</x:t>
        </x:is>
      </x:c>
      <x:c r="L15" s="366" t="n">
        <x:v>46155</x:v>
      </x:c>
      <x:c r="M15" s="361" t="inlineStr">
        <x:is>
          <x:t xml:space="preserve">COA-0014</x:t>
        </x:is>
      </x:c>
      <x:c r="N15" s="361" t="inlineStr">
        <x:is>
          <x:t xml:space="preserve">#155147</x:t>
        </x:is>
      </x:c>
      <x:c r="O15" s="361" t="inlineStr">
        <x:is>
          <x:t xml:space="preserve">UVM6E4JHM32H</x:t>
        </x:is>
      </x:c>
      <x:c r="P15" s="376" t="inlineStr">
        <x:is>
          <x:t xml:space="preserve">https://janoshik.com/verify/UVM6E4JHM32H</x:t>
        </x:is>
      </x:c>
      <x:c r="Q15" s="368" t="inlineStr">
        <x:is>
          <x:t xml:space="preserve">Not Listed</x:t>
        </x:is>
      </x:c>
      <x:c r="R15" s="368" t="inlineStr">
        <x:is>
          <x:t xml:space="preserve">Not Listed</x:t>
        </x:is>
      </x:c>
      <x:c r="S15" s="361" t="inlineStr">
        <x:is>
          <x:t xml:space="preserve">Crimp/cap color not listed or visible in the COA/testing record.</x:t>
        </x:is>
      </x:c>
      <x:c r="T15" s="361" t="inlineStr">
        <x:is>
          <x:t xml:space="preserve">MS10 / MOTS-C</x:t>
        </x:is>
      </x:c>
    </x:row>
    <x:row r="16">
      <x:c r="A16" s="361" t="inlineStr">
        <x:is>
          <x:t xml:space="preserve">COA-0015</x:t>
        </x:is>
      </x:c>
      <x:c r="B16" s="361" t="inlineStr">
        <x:is>
          <x:t xml:space="preserve">MOTS-C</x:t>
        </x:is>
      </x:c>
      <x:c r="C16" s="361" t="inlineStr">
        <x:is>
          <x:t xml:space="preserve">Metabolic / Mito</x:t>
        </x:is>
      </x:c>
      <x:c r="D16" s="361" t="n">
        <x:v>40</x:v>
      </x:c>
      <x:c r="E16" s="361" t="n">
        <x:v>38.96</x:v>
      </x:c>
      <x:c r="F16" s="361" t="n">
        <x:v>-1.039999999999999</x:v>
      </x:c>
      <x:c r="G16" s="364" t="n">
        <x:v>-0.02599999999999998</x:v>
      </x:c>
      <x:c r="H16" s="362" t="n">
        <x:v>99.813</x:v>
      </x:c>
      <x:c r="I16" s="361" t="inlineStr">
        <x:is>
          <x:t xml:space="preserve">2026.01.26.hva16</x:t>
        </x:is>
      </x:c>
      <x:c r="J16" s="361" t="inlineStr">
        <x:is>
          <x:t xml:space="preserve">Janoshik</x:t>
        </x:is>
      </x:c>
      <x:c r="K16" s="369" t="inlineStr">
        <x:is>
          <x:t xml:space="preserve">On label</x:t>
        </x:is>
      </x:c>
      <x:c r="L16" s="366" t="n">
        <x:v>46057</x:v>
      </x:c>
      <x:c r="M16" s="361" t="inlineStr">
        <x:is>
          <x:t xml:space="preserve">COA-0015</x:t>
        </x:is>
      </x:c>
      <x:c r="N16" s="361" t="inlineStr">
        <x:is>
          <x:t xml:space="preserve">#105209</x:t>
        </x:is>
      </x:c>
      <x:c r="O16" s="361" t="inlineStr">
        <x:is>
          <x:t xml:space="preserve">EZVSKIKKLCI2</x:t>
        </x:is>
      </x:c>
      <x:c r="P16" s="376" t="inlineStr">
        <x:is>
          <x:t xml:space="preserve">https://janoshik.com/verify/EZVSKIKKLCI2</x:t>
        </x:is>
      </x:c>
      <x:c r="Q16" s="368" t="inlineStr">
        <x:is>
          <x:t xml:space="preserve">Not Listed</x:t>
        </x:is>
      </x:c>
      <x:c r="R16" s="368" t="inlineStr">
        <x:is>
          <x:t xml:space="preserve">Not Listed</x:t>
        </x:is>
      </x:c>
      <x:c r="S16" s="361" t="inlineStr">
        <x:is>
          <x:t xml:space="preserve">Crimp/cap color not listed or visible in the COA/testing record.</x:t>
        </x:is>
      </x:c>
      <x:c r="T16" s="361" t="inlineStr">
        <x:is>
          <x:t xml:space="preserve">40 mg label</x:t>
        </x:is>
      </x:c>
    </x:row>
    <x:row r="17">
      <x:c r="A17" s="361" t="inlineStr">
        <x:is>
          <x:t xml:space="preserve">COA-0016</x:t>
        </x:is>
      </x:c>
      <x:c r="B17" s="361" t="inlineStr">
        <x:is>
          <x:t xml:space="preserve">TB-500</x:t>
        </x:is>
      </x:c>
      <x:c r="C17" s="361" t="inlineStr">
        <x:is>
          <x:t xml:space="preserve">Healing / Recovery</x:t>
        </x:is>
      </x:c>
      <x:c r="D17" s="361" t="n">
        <x:v>10</x:v>
      </x:c>
      <x:c r="E17" s="361" t="n">
        <x:v>11.38</x:v>
      </x:c>
      <x:c r="F17" s="361" t="n">
        <x:v>1.380000000000001</x:v>
      </x:c>
      <x:c r="G17" s="364" t="n">
        <x:v>0.1380000000000001</x:v>
      </x:c>
      <x:c r="H17" s="362" t="n">
        <x:v>99.08499999999999</x:v>
      </x:c>
      <x:c r="I17" s="361" t="inlineStr">
        <x:is>
          <x:t xml:space="preserve">260425</x:t>
        </x:is>
      </x:c>
      <x:c r="J17" s="361" t="inlineStr">
        <x:is>
          <x:t xml:space="preserve">Janoshik</x:t>
        </x:is>
      </x:c>
      <x:c r="K17" s="365" t="inlineStr">
        <x:is>
          <x:t xml:space="preserve">Overfilled</x:t>
        </x:is>
      </x:c>
      <x:c r="L17" s="366" t="n">
        <x:v>46155</x:v>
      </x:c>
      <x:c r="M17" s="361" t="inlineStr">
        <x:is>
          <x:t xml:space="preserve">COA-0016</x:t>
        </x:is>
      </x:c>
      <x:c r="N17" s="361" t="inlineStr">
        <x:is>
          <x:t xml:space="preserve">#155187</x:t>
        </x:is>
      </x:c>
      <x:c r="O17" s="361" t="inlineStr">
        <x:is>
          <x:t xml:space="preserve">C4ZL757CFGFN</x:t>
        </x:is>
      </x:c>
      <x:c r="P17" s="376" t="inlineStr">
        <x:is>
          <x:t xml:space="preserve">https://janoshik.com/verify/C4ZL757CFGFN</x:t>
        </x:is>
      </x:c>
      <x:c r="Q17" s="368" t="inlineStr">
        <x:is>
          <x:t xml:space="preserve">Not Listed</x:t>
        </x:is>
      </x:c>
      <x:c r="R17" s="368" t="inlineStr">
        <x:is>
          <x:t xml:space="preserve">Not Listed</x:t>
        </x:is>
      </x:c>
      <x:c r="S17" s="361" t="inlineStr">
        <x:is>
          <x:t xml:space="preserve">Crimp/cap color not listed or visible in the COA/testing record.</x:t>
        </x:is>
      </x:c>
      <x:c r="T17" s="361" t="inlineStr">
        <x:is>
          <x:t xml:space="preserve">TB-500 / TB4</x:t>
        </x:is>
      </x:c>
    </x:row>
    <x:row r="18">
      <x:c r="A18" s="361" t="inlineStr">
        <x:is>
          <x:t xml:space="preserve">COA-0017</x:t>
        </x:is>
      </x:c>
      <x:c r="B18" s="361" t="inlineStr">
        <x:is>
          <x:t xml:space="preserve">BPC-157</x:t>
        </x:is>
      </x:c>
      <x:c r="C18" s="361" t="inlineStr">
        <x:is>
          <x:t xml:space="preserve">Healing / Recovery</x:t>
        </x:is>
      </x:c>
      <x:c r="D18" s="361" t="n">
        <x:v>5</x:v>
      </x:c>
      <x:c r="E18" s="361" t="n">
        <x:v>5.54</x:v>
      </x:c>
      <x:c r="F18" s="361" t="n">
        <x:v>0.54</x:v>
      </x:c>
      <x:c r="G18" s="364" t="n">
        <x:v>0.108</x:v>
      </x:c>
      <x:c r="H18" s="362" t="n"/>
      <x:c r="I18" s="361" t="inlineStr">
        <x:is>
          <x:t xml:space="preserve">2026.01.26.hva16</x:t>
        </x:is>
      </x:c>
      <x:c r="J18" s="361" t="inlineStr">
        <x:is>
          <x:t xml:space="preserve">Janoshik</x:t>
        </x:is>
      </x:c>
      <x:c r="K18" s="365" t="inlineStr">
        <x:is>
          <x:t xml:space="preserve">Overfilled</x:t>
        </x:is>
      </x:c>
      <x:c r="L18" s="366" t="n">
        <x:v>46057</x:v>
      </x:c>
      <x:c r="M18" s="361" t="inlineStr">
        <x:is>
          <x:t xml:space="preserve">COA-0017</x:t>
        </x:is>
      </x:c>
      <x:c r="N18" s="361" t="inlineStr">
        <x:is>
          <x:t xml:space="preserve">#105138</x:t>
        </x:is>
      </x:c>
      <x:c r="O18" s="361" t="inlineStr">
        <x:is>
          <x:t xml:space="preserve">LIE4Z88FYGXC</x:t>
        </x:is>
      </x:c>
      <x:c r="P18" s="376" t="inlineStr">
        <x:is>
          <x:t xml:space="preserve">https://janoshik.com/verify/LIE4Z88FYGXC</x:t>
        </x:is>
      </x:c>
      <x:c r="Q18" s="368" t="inlineStr">
        <x:is>
          <x:t xml:space="preserve">Not Listed</x:t>
        </x:is>
      </x:c>
      <x:c r="R18" s="368" t="inlineStr">
        <x:is>
          <x:t xml:space="preserve">Not Listed</x:t>
        </x:is>
      </x:c>
      <x:c r="S18" s="361" t="inlineStr">
        <x:is>
          <x:t xml:space="preserve">Crimp/cap color not listed or visible in the COA/testing record.</x:t>
        </x:is>
      </x:c>
      <x:c r="T18" s="361" t="inlineStr">
        <x:is>
          <x:t xml:space="preserve">Blend report BPC5+TB5</x:t>
        </x:is>
      </x:c>
    </x:row>
    <x:row r="19">
      <x:c r="A19" s="361" t="inlineStr">
        <x:is>
          <x:t xml:space="preserve">COA-0018</x:t>
        </x:is>
      </x:c>
      <x:c r="B19" s="361" t="inlineStr">
        <x:is>
          <x:t xml:space="preserve">TB-500</x:t>
        </x:is>
      </x:c>
      <x:c r="C19" s="361" t="inlineStr">
        <x:is>
          <x:t xml:space="preserve">Healing / Recovery</x:t>
        </x:is>
      </x:c>
      <x:c r="D19" s="361" t="n">
        <x:v>5</x:v>
      </x:c>
      <x:c r="E19" s="361" t="n">
        <x:v>5.43</x:v>
      </x:c>
      <x:c r="F19" s="361" t="n">
        <x:v>0.4299999999999997</x:v>
      </x:c>
      <x:c r="G19" s="364" t="n">
        <x:v>0.08599999999999994</x:v>
      </x:c>
      <x:c r="H19" s="362" t="n"/>
      <x:c r="I19" s="361" t="inlineStr">
        <x:is>
          <x:t xml:space="preserve">2026.01.26.hva16</x:t>
        </x:is>
      </x:c>
      <x:c r="J19" s="361" t="inlineStr">
        <x:is>
          <x:t xml:space="preserve">Janoshik</x:t>
        </x:is>
      </x:c>
      <x:c r="K19" s="369" t="inlineStr">
        <x:is>
          <x:t xml:space="preserve">On label</x:t>
        </x:is>
      </x:c>
      <x:c r="L19" s="366" t="n">
        <x:v>46057</x:v>
      </x:c>
      <x:c r="M19" s="361" t="inlineStr">
        <x:is>
          <x:t xml:space="preserve">COA-0018</x:t>
        </x:is>
      </x:c>
      <x:c r="N19" s="361" t="inlineStr">
        <x:is>
          <x:t xml:space="preserve">#105138</x:t>
        </x:is>
      </x:c>
      <x:c r="O19" s="361" t="inlineStr">
        <x:is>
          <x:t xml:space="preserve">LIE4Z88FYGXC</x:t>
        </x:is>
      </x:c>
      <x:c r="P19" s="376" t="inlineStr">
        <x:is>
          <x:t xml:space="preserve">https://janoshik.com/verify/LIE4Z88FYGXC</x:t>
        </x:is>
      </x:c>
      <x:c r="Q19" s="368" t="inlineStr">
        <x:is>
          <x:t xml:space="preserve">Not Listed</x:t>
        </x:is>
      </x:c>
      <x:c r="R19" s="368" t="inlineStr">
        <x:is>
          <x:t xml:space="preserve">Not Listed</x:t>
        </x:is>
      </x:c>
      <x:c r="S19" s="361" t="inlineStr">
        <x:is>
          <x:t xml:space="preserve">Crimp/cap color not listed or visible in the COA/testing record.</x:t>
        </x:is>
      </x:c>
      <x:c r="T19" s="361" t="inlineStr">
        <x:is>
          <x:t xml:space="preserve">Blend report BPC5+TB5</x:t>
        </x:is>
      </x:c>
    </x:row>
    <x:row r="20">
      <x:c r="A20" s="361" t="inlineStr">
        <x:is>
          <x:t xml:space="preserve">COA-0019</x:t>
        </x:is>
      </x:c>
      <x:c r="B20" s="361" t="inlineStr">
        <x:is>
          <x:t xml:space="preserve">SS-31</x:t>
        </x:is>
      </x:c>
      <x:c r="C20" s="361" t="inlineStr">
        <x:is>
          <x:t xml:space="preserve">Metabolic / Mito</x:t>
        </x:is>
      </x:c>
      <x:c r="D20" s="361" t="n">
        <x:v>10</x:v>
      </x:c>
      <x:c r="E20" s="361" t="n">
        <x:v>8.880000000000001</x:v>
      </x:c>
      <x:c r="F20" s="361" t="n">
        <x:v>-1.119999999999999</x:v>
      </x:c>
      <x:c r="G20" s="364" t="n">
        <x:v>-0.1119999999999999</x:v>
      </x:c>
      <x:c r="H20" s="362" t="n">
        <x:v>99.95</x:v>
      </x:c>
      <x:c r="I20" s="361" t="inlineStr">
        <x:is>
          <x:t xml:space="preserve">260425</x:t>
        </x:is>
      </x:c>
      <x:c r="J20" s="361" t="inlineStr">
        <x:is>
          <x:t xml:space="preserve">Janoshik</x:t>
        </x:is>
      </x:c>
      <x:c r="K20" s="374" t="inlineStr">
        <x:is>
          <x:t xml:space="preserve">Underfilled</x:t>
        </x:is>
      </x:c>
      <x:c r="L20" s="366" t="n">
        <x:v>46155</x:v>
      </x:c>
      <x:c r="M20" s="361" t="inlineStr">
        <x:is>
          <x:t xml:space="preserve">COA-0019</x:t>
        </x:is>
      </x:c>
      <x:c r="N20" s="361" t="inlineStr">
        <x:is>
          <x:t xml:space="preserve">#155177</x:t>
        </x:is>
      </x:c>
      <x:c r="O20" s="361" t="inlineStr">
        <x:is>
          <x:t xml:space="preserve">ZBCG537ZYEN9</x:t>
        </x:is>
      </x:c>
      <x:c r="P20" s="376" t="inlineStr">
        <x:is>
          <x:t xml:space="preserve">https://janoshik.com/verify/ZBCG537ZYEN9</x:t>
        </x:is>
      </x:c>
      <x:c r="Q20" s="368" t="inlineStr">
        <x:is>
          <x:t xml:space="preserve">Not Listed</x:t>
        </x:is>
      </x:c>
      <x:c r="R20" s="368" t="inlineStr">
        <x:is>
          <x:t xml:space="preserve">Not Listed</x:t>
        </x:is>
      </x:c>
      <x:c r="S20" s="361" t="inlineStr">
        <x:is>
          <x:t xml:space="preserve">Crimp/cap color not listed or visible in the COA/testing record.</x:t>
        </x:is>
      </x:c>
      <x:c r="T20" s="361" t="inlineStr">
        <x:is>
          <x:t xml:space="preserve">Elamipretide; tested twice</x:t>
        </x:is>
      </x:c>
    </x:row>
    <x:row r="21">
      <x:c r="A21" s="361" t="inlineStr">
        <x:is>
          <x:t xml:space="preserve">COA-0020</x:t>
        </x:is>
      </x:c>
      <x:c r="B21" s="361" t="inlineStr">
        <x:is>
          <x:t xml:space="preserve">KPV</x:t>
        </x:is>
      </x:c>
      <x:c r="C21" s="361" t="inlineStr">
        <x:is>
          <x:t xml:space="preserve">Other</x:t>
        </x:is>
      </x:c>
      <x:c r="D21" s="361" t="n">
        <x:v>10</x:v>
      </x:c>
      <x:c r="E21" s="361" t="n">
        <x:v>12.19</x:v>
      </x:c>
      <x:c r="F21" s="361" t="n">
        <x:v>2.19</x:v>
      </x:c>
      <x:c r="G21" s="364" t="n">
        <x:v>0.2189999999999999</x:v>
      </x:c>
      <x:c r="H21" s="362" t="n">
        <x:v>99.589</x:v>
      </x:c>
      <x:c r="I21" s="361" t="inlineStr">
        <x:is>
          <x:t xml:space="preserve">2026.01.26.hva16</x:t>
        </x:is>
      </x:c>
      <x:c r="J21" s="361" t="inlineStr">
        <x:is>
          <x:t xml:space="preserve">Janoshik</x:t>
        </x:is>
      </x:c>
      <x:c r="K21" s="365" t="inlineStr">
        <x:is>
          <x:t xml:space="preserve">Overfilled</x:t>
        </x:is>
      </x:c>
      <x:c r="L21" s="366" t="n">
        <x:v>46057</x:v>
      </x:c>
      <x:c r="M21" s="361" t="inlineStr">
        <x:is>
          <x:t xml:space="preserve">COA-0020</x:t>
        </x:is>
      </x:c>
      <x:c r="N21" s="361" t="inlineStr">
        <x:is>
          <x:t xml:space="preserve">#105219</x:t>
        </x:is>
      </x:c>
      <x:c r="O21" s="361" t="inlineStr">
        <x:is>
          <x:t xml:space="preserve">ZR7I3B74I9KC</x:t>
        </x:is>
      </x:c>
      <x:c r="P21" s="376" t="inlineStr">
        <x:is>
          <x:t xml:space="preserve">https://janoshik.com/verify/ZR7I3B74I9KC</x:t>
        </x:is>
      </x:c>
      <x:c r="Q21" s="368" t="inlineStr">
        <x:is>
          <x:t xml:space="preserve">Not Listed</x:t>
        </x:is>
      </x:c>
      <x:c r="R21" s="368" t="inlineStr">
        <x:is>
          <x:t xml:space="preserve">Not Listed</x:t>
        </x:is>
      </x:c>
      <x:c r="S21" s="361" t="inlineStr">
        <x:is>
          <x:t xml:space="preserve">Crimp/cap color not listed or visible in the COA/testing record.</x:t>
        </x:is>
      </x:c>
      <x:c r="T21" s="361" t="inlineStr">
        <x:is>
          <x:t xml:space="preserve">Overfilled</x:t>
        </x:is>
      </x:c>
    </x:row>
    <x:row r="22">
      <x:c r="A22" s="361" t="inlineStr">
        <x:is>
          <x:t xml:space="preserve">COA-0021</x:t>
        </x:is>
      </x:c>
      <x:c r="B22" s="361" t="inlineStr">
        <x:is>
          <x:t xml:space="preserve">CJC-1295 No DAC</x:t>
        </x:is>
      </x:c>
      <x:c r="C22" s="361" t="inlineStr">
        <x:is>
          <x:t xml:space="preserve">Growth Hormone Support</x:t>
        </x:is>
      </x:c>
      <x:c r="D22" s="361" t="n">
        <x:v>10</x:v>
      </x:c>
      <x:c r="E22" s="361" t="n">
        <x:v>9.66</x:v>
      </x:c>
      <x:c r="F22" s="361" t="n">
        <x:v>-0.3399999999999999</x:v>
      </x:c>
      <x:c r="G22" s="364" t="n">
        <x:v>-0.03399999999999999</x:v>
      </x:c>
      <x:c r="H22" s="362" t="n">
        <x:v>99.89700000000001</x:v>
      </x:c>
      <x:c r="I22" s="361" t="inlineStr">
        <x:is>
          <x:t xml:space="preserve">260425</x:t>
        </x:is>
      </x:c>
      <x:c r="J22" s="361" t="inlineStr">
        <x:is>
          <x:t xml:space="preserve">Janoshik</x:t>
        </x:is>
      </x:c>
      <x:c r="K22" s="369" t="inlineStr">
        <x:is>
          <x:t xml:space="preserve">On label</x:t>
        </x:is>
      </x:c>
      <x:c r="L22" s="366" t="n">
        <x:v>46156</x:v>
      </x:c>
      <x:c r="M22" s="361" t="inlineStr">
        <x:is>
          <x:t xml:space="preserve">COA-0021</x:t>
        </x:is>
      </x:c>
      <x:c r="N22" s="361" t="inlineStr">
        <x:is>
          <x:t xml:space="preserve">#155197</x:t>
        </x:is>
      </x:c>
      <x:c r="O22" s="361" t="inlineStr">
        <x:is>
          <x:t xml:space="preserve">TK4BPAPZF2HC</x:t>
        </x:is>
      </x:c>
      <x:c r="P22" s="376" t="inlineStr">
        <x:is>
          <x:t xml:space="preserve">https://janoshik.com/verify/TK4BPAPZF2HC</x:t>
        </x:is>
      </x:c>
      <x:c r="Q22" s="368" t="inlineStr">
        <x:is>
          <x:t xml:space="preserve">Not Listed</x:t>
        </x:is>
      </x:c>
      <x:c r="R22" s="368" t="inlineStr">
        <x:is>
          <x:t xml:space="preserve">Not Listed</x:t>
        </x:is>
      </x:c>
      <x:c r="S22" s="361" t="inlineStr">
        <x:is>
          <x:t xml:space="preserve">Crimp/cap color not listed or visible in the COA/testing record.</x:t>
        </x:is>
      </x:c>
      <x:c r="T22" s="361" t="inlineStr">
        <x:is>
          <x:t xml:space="preserve">Mod GRF 1-29</x:t>
        </x:is>
      </x:c>
    </x:row>
    <x:row r="23">
      <x:c r="A23" s="361" t="inlineStr">
        <x:is>
          <x:t xml:space="preserve">COA-0022</x:t>
        </x:is>
      </x:c>
      <x:c r="B23" s="361" t="inlineStr">
        <x:is>
          <x:t xml:space="preserve">Retatrutide</x:t>
        </x:is>
      </x:c>
      <x:c r="C23" s="361" t="inlineStr">
        <x:is>
          <x:t xml:space="preserve">GLP-1 / Weight</x:t>
        </x:is>
      </x:c>
      <x:c r="D23" s="361" t="n">
        <x:v>30</x:v>
      </x:c>
      <x:c r="E23" s="361" t="n">
        <x:v>34.77</x:v>
      </x:c>
      <x:c r="F23" s="361" t="n">
        <x:v>4.770000000000003</x:v>
      </x:c>
      <x:c r="G23" s="364" t="n">
        <x:v>0.1590000000000001</x:v>
      </x:c>
      <x:c r="H23" s="362" t="n">
        <x:v>99.825</x:v>
      </x:c>
      <x:c r="I23" s="361" t="inlineStr">
        <x:is>
          <x:t xml:space="preserve">260425</x:t>
        </x:is>
      </x:c>
      <x:c r="J23" s="361" t="inlineStr">
        <x:is>
          <x:t xml:space="preserve">Janoshik</x:t>
        </x:is>
      </x:c>
      <x:c r="K23" s="365" t="inlineStr">
        <x:is>
          <x:t xml:space="preserve">Overfilled</x:t>
        </x:is>
      </x:c>
      <x:c r="L23" s="366" t="n">
        <x:v>46156</x:v>
      </x:c>
      <x:c r="M23" s="361" t="inlineStr">
        <x:is>
          <x:t xml:space="preserve">COA-0022</x:t>
        </x:is>
      </x:c>
      <x:c r="N23" s="361" t="inlineStr">
        <x:is>
          <x:t xml:space="preserve">#155167</x:t>
        </x:is>
      </x:c>
      <x:c r="O23" s="361" t="inlineStr">
        <x:is>
          <x:t xml:space="preserve">GHCSPKL4C6CX</x:t>
        </x:is>
      </x:c>
      <x:c r="P23" s="376" t="inlineStr">
        <x:is>
          <x:t xml:space="preserve">https://janoshik.com/verify/GHCSPKL4C6CX</x:t>
        </x:is>
      </x:c>
      <x:c r="Q23" s="368" t="inlineStr">
        <x:is>
          <x:t xml:space="preserve">Not Listed</x:t>
        </x:is>
      </x:c>
      <x:c r="R23" s="368" t="inlineStr">
        <x:is>
          <x:t xml:space="preserve">Not Listed</x:t>
        </x:is>
      </x:c>
      <x:c r="S23" s="361" t="inlineStr">
        <x:is>
          <x:t xml:space="preserve">Crimp/cap color not listed or visible in the COA/testing record.</x:t>
        </x:is>
      </x:c>
      <x:c r="T23" s="361" t="inlineStr">
        <x:is>
          <x:t xml:space="preserve">RT30 Retatrutide 30mg; common GLP-1 blind test; overfilled.</x:t>
        </x:is>
      </x:c>
    </x:row>
    <x:row r="24">
      <x:c r="A24" s="361" t="inlineStr">
        <x:is>
          <x:t xml:space="preserve">COA-0023</x:t>
        </x:is>
      </x:c>
      <x:c r="B24" s="361" t="inlineStr">
        <x:is>
          <x:t xml:space="preserve">Tirzepatide</x:t>
        </x:is>
      </x:c>
      <x:c r="C24" s="361" t="inlineStr">
        <x:is>
          <x:t xml:space="preserve">GLP-1 / Weight</x:t>
        </x:is>
      </x:c>
      <x:c r="D24" s="361" t="n">
        <x:v>15</x:v>
      </x:c>
      <x:c r="E24" s="361" t="n">
        <x:v>16.18</x:v>
      </x:c>
      <x:c r="F24" s="361" t="n">
        <x:v>1.18</x:v>
      </x:c>
      <x:c r="G24" s="364" t="n">
        <x:v>0.07866666666666665</x:v>
      </x:c>
      <x:c r="H24" s="362" t="n">
        <x:v>99.73099999999999</x:v>
      </x:c>
      <x:c r="I24" s="361" t="inlineStr">
        <x:is>
          <x:t xml:space="preserve">260425</x:t>
        </x:is>
      </x:c>
      <x:c r="J24" s="361" t="inlineStr">
        <x:is>
          <x:t xml:space="preserve">Janoshik</x:t>
        </x:is>
      </x:c>
      <x:c r="K24" s="365" t="inlineStr">
        <x:is>
          <x:t xml:space="preserve">Overfilled</x:t>
        </x:is>
      </x:c>
      <x:c r="L24" s="366" t="n">
        <x:v>46156</x:v>
      </x:c>
      <x:c r="M24" s="361" t="inlineStr">
        <x:is>
          <x:t xml:space="preserve">COA-0023</x:t>
        </x:is>
      </x:c>
      <x:c r="N24" s="361" t="inlineStr">
        <x:is>
          <x:t xml:space="preserve">#155127</x:t>
        </x:is>
      </x:c>
      <x:c r="O24" s="361" t="inlineStr">
        <x:is>
          <x:t xml:space="preserve">PD278BSFA1D9</x:t>
        </x:is>
      </x:c>
      <x:c r="P24" s="376" t="inlineStr">
        <x:is>
          <x:t xml:space="preserve">https://janoshik.com/verify/PD278BSFA1D9</x:t>
        </x:is>
      </x:c>
      <x:c r="Q24" s="368" t="inlineStr">
        <x:is>
          <x:t xml:space="preserve">Not Listed</x:t>
        </x:is>
      </x:c>
      <x:c r="R24" s="368" t="inlineStr">
        <x:is>
          <x:t xml:space="preserve">Not Listed</x:t>
        </x:is>
      </x:c>
      <x:c r="S24" s="361" t="inlineStr">
        <x:is>
          <x:t xml:space="preserve">Crimp/cap color not listed or visible in the COA/testing record.</x:t>
        </x:is>
      </x:c>
      <x:c r="T24" s="361" t="inlineStr">
        <x:is>
          <x:t xml:space="preserve">T15 Tirzepatide 15mg; common GLP-1 blind test; overfilled.</x:t>
        </x:is>
      </x:c>
    </x:row>
    <x:row r="25">
      <x:c r="A25" s="361" t="inlineStr">
        <x:is>
          <x:t xml:space="preserve">COA-0024</x:t>
        </x:is>
      </x:c>
      <x:c r="B25" s="361" t="inlineStr">
        <x:is>
          <x:t xml:space="preserve">Retatrutide</x:t>
        </x:is>
      </x:c>
      <x:c r="C25" s="361" t="inlineStr">
        <x:is>
          <x:t xml:space="preserve">GLP-1 / Weight</x:t>
        </x:is>
      </x:c>
      <x:c r="D25" s="361" t="n">
        <x:v>20</x:v>
      </x:c>
      <x:c r="E25" s="361" t="n">
        <x:v>22.47</x:v>
      </x:c>
      <x:c r="F25" s="361" t="n">
        <x:v>2.469999999999999</x:v>
      </x:c>
      <x:c r="G25" s="364" t="n">
        <x:v>0.1234999999999999</x:v>
      </x:c>
      <x:c r="H25" s="362" t="n">
        <x:v>99.86</x:v>
      </x:c>
      <x:c r="I25" s="361" t="inlineStr">
        <x:is>
          <x:t xml:space="preserve">Freedom-RT20-20260614-ClearGreen</x:t>
        </x:is>
      </x:c>
      <x:c r="J25" s="361" t="inlineStr">
        <x:is>
          <x:t xml:space="preserve">Freedom Diagnostics</x:t>
        </x:is>
      </x:c>
      <x:c r="K25" s="365" t="inlineStr">
        <x:is>
          <x:t xml:space="preserve">Overfilled</x:t>
        </x:is>
      </x:c>
      <x:c r="L25" s="366" t="inlineStr">
        <x:is>
          <x:t xml:space="preserve">2026-06-14</x:t>
        </x:is>
      </x:c>
      <x:c r="M25" s="361" t="inlineStr">
        <x:is>
          <x:t xml:space="preserve">COA-0024</x:t>
        </x:is>
      </x:c>
      <x:c r="N25" s="361" t="inlineStr">
        <x:is>
          <x:t xml:space="preserve">Redacted</x:t>
        </x:is>
      </x:c>
      <x:c r="O25" s="361" t="inlineStr">
        <x:is>
          <x:t xml:space="preserve">N/A</x:t>
        </x:is>
      </x:c>
      <x:c r="P25" s="361" t="inlineStr">
        <x:is>
          <x:t xml:space="preserve"/>
        </x:is>
      </x:c>
      <x:c r="Q25" s="375" t="inlineStr">
        <x:is>
          <x:t xml:space="preserve">Clear Green</x:t>
        </x:is>
      </x:c>
      <x:c r="R25" s="368" t="inlineStr">
        <x:is>
          <x:t xml:space="preserve">Not Listed</x:t>
        </x:is>
      </x:c>
      <x:c r="S25" s="361" t="inlineStr">
        <x:is>
          <x:t xml:space="preserve">Clear green cap per COA image</x:t>
        </x:is>
      </x:c>
      <x:c r="T25" s="361" t="inlineStr">
        <x:is>
          <x:t xml:space="preserve">Retatrutide 20mg, separate batch from existing Retatrutide records; received 06/11/2026, reported 06/14/2026.</x:t>
        </x:is>
      </x:c>
    </x:row>
    <x:row r="26">
      <x:c r="A26" t="str">
        <x:v>COA-0028</x:v>
      </x:c>
      <x:c r="B26" t="str">
        <x:v>BPC/TB Blend</x:v>
      </x:c>
      <x:c r="C26" t="str">
        <x:v>Healing / Recovery</x:v>
      </x:c>
      <x:c r="D26" t="n">
        <x:v>10</x:v>
      </x:c>
      <x:c r="E26" t="n">
        <x:v>11.85</x:v>
      </x:c>
      <x:c r="F26" t="n">
        <x:v>1.85</x:v>
      </x:c>
      <x:c r="G26" t="n">
        <x:v>0.185</x:v>
      </x:c>
      <x:c r="H26" t="n">
        <x:v>99.81</x:v>
      </x:c>
      <x:c r="I26" t="str">
        <x:v>BATCH-01</x:v>
      </x:c>
      <x:c r="J26" t="str">
        <x:v>Testides</x:v>
      </x:c>
      <x:c r="K26" t="str">
        <x:v>Overfilled</x:v>
      </x:c>
      <x:c r="L26" t="str">
        <x:v>2026-06-15</x:v>
      </x:c>
      <x:c r="M26" t="str">
        <x:v>COA-0028</x:v>
      </x:c>
      <x:c r="N26" t="str">
        <x:v>PT-BPCTB-10-062226-01</x:v>
      </x:c>
      <x:c r="O26" t="str">
        <x:v>da424443</x:v>
      </x:c>
      <x:c r="P26" t="str">
        <x:v>assets/coa/PT-BPCTB-10-062226-01.pdf</x:v>
      </x:c>
      <x:c r="Q26" t="str">
        <x:v>Not Listed</x:v>
      </x:c>
      <x:c r="R26" t="str">
        <x:v>Not Listed</x:v>
      </x:c>
      <x:c r="S26" t="str">
        <x:v>Crimp/cap color not listed in PDF.</x:v>
      </x:c>
      <x:c r="T26" t="str">
        <x:v>BPC-157 5.76mg + TB-500 6.09mg; Date received/reported Jun 24, 2026; generated Jul 4, 2026.</x:v>
      </x:c>
    </x:row>
    <x:row r="27">
      <x:c r="A27" t="str">
        <x:v>COA-0029</x:v>
      </x:c>
      <x:c r="B27" t="str">
        <x:v>MOTS-C</x:v>
      </x:c>
      <x:c r="C27" t="str">
        <x:v>Metabolic / Mito</x:v>
      </x:c>
      <x:c r="D27" t="n">
        <x:v>40</x:v>
      </x:c>
      <x:c r="E27" t="n">
        <x:v>45.03</x:v>
      </x:c>
      <x:c r="F27" t="n">
        <x:v>5.03</x:v>
      </x:c>
      <x:c r="G27" t="n">
        <x:v>0.12575</x:v>
      </x:c>
      <x:c r="H27" t="n">
        <x:v>99.39</x:v>
      </x:c>
      <x:c r="I27" t="str">
        <x:v>BATCH-01</x:v>
      </x:c>
      <x:c r="J27" t="str">
        <x:v>Testides</x:v>
      </x:c>
      <x:c r="K27" t="str">
        <x:v>Overfilled</x:v>
      </x:c>
      <x:c r="L27" t="str">
        <x:v>2026-06-15</x:v>
      </x:c>
      <x:c r="M27" t="str">
        <x:v>COA-0029</x:v>
      </x:c>
      <x:c r="N27" t="str">
        <x:v>PT-MOTS-40-062226-01</x:v>
      </x:c>
      <x:c r="O27" t="str">
        <x:v>96ea8238</x:v>
      </x:c>
      <x:c r="P27" t="str">
        <x:v>assets/coa/PT-MOTS-40-062226-01.pdf</x:v>
      </x:c>
      <x:c r="Q27" t="str">
        <x:v>Not Listed</x:v>
      </x:c>
      <x:c r="R27" t="str">
        <x:v>Not Listed</x:v>
      </x:c>
      <x:c r="S27" t="str">
        <x:v>Crimp/cap color not listed in PDF.</x:v>
      </x:c>
      <x:c r="T27" t="str">
        <x:v>MOTS-c 40mg; Date received/reported Jun 24, 2026; generated Jul 4, 2026.</x:v>
      </x:c>
    </x:row>
    <x:row r="28">
      <x:c r="A28" t="str">
        <x:v>COA-0030</x:v>
      </x:c>
      <x:c r="B28" t="str">
        <x:v>Retatrutide</x:v>
      </x:c>
      <x:c r="C28" t="str">
        <x:v>GLP-1 / Weight</x:v>
      </x:c>
      <x:c r="D28" t="n">
        <x:v>20</x:v>
      </x:c>
      <x:c r="E28" t="n">
        <x:v>21.4</x:v>
      </x:c>
      <x:c r="F28" t="n">
        <x:v>1.4</x:v>
      </x:c>
      <x:c r="G28" t="n">
        <x:v>0.06999999999999999</x:v>
      </x:c>
      <x:c r="H28" t="n">
        <x:v>99.49</x:v>
      </x:c>
      <x:c r="I28" t="str">
        <x:v>BATCH-01</x:v>
      </x:c>
      <x:c r="J28" t="str">
        <x:v>Testides</x:v>
      </x:c>
      <x:c r="K28" t="str">
        <x:v>Overfilled</x:v>
      </x:c>
      <x:c r="L28" t="str">
        <x:v>2026-06-15</x:v>
      </x:c>
      <x:c r="M28" t="str">
        <x:v>COA-0030</x:v>
      </x:c>
      <x:c r="N28" t="str">
        <x:v>PT-RETA-20-062226-01</x:v>
      </x:c>
      <x:c r="O28" t="str">
        <x:v>5c1aa528</x:v>
      </x:c>
      <x:c r="P28" t="str">
        <x:v>assets/coa/PT-RETA-20-062226-01.pdf</x:v>
      </x:c>
      <x:c r="Q28" t="str">
        <x:v>Not Listed</x:v>
      </x:c>
      <x:c r="R28" t="str">
        <x:v>Not Listed</x:v>
      </x:c>
      <x:c r="S28" t="str">
        <x:v>Crimp/cap color not listed in PDF.</x:v>
      </x:c>
      <x:c r="T28" t="str">
        <x:v>Retatrutide 20mg; Date received/reported Jun 24, 2026; generated Jul 4, 2026.</x:v>
      </x:c>
    </x:row>
    <x:row r="29">
      <x:c r="A29" t="str">
        <x:v>COA-0031</x:v>
      </x:c>
      <x:c r="B29" t="str">
        <x:v>Retatrutide</x:v>
      </x:c>
      <x:c r="C29" t="str">
        <x:v>GLP-1 / Weight</x:v>
      </x:c>
      <x:c r="D29" t="n">
        <x:v>30</x:v>
      </x:c>
      <x:c r="E29" t="n">
        <x:v>33.77</x:v>
      </x:c>
      <x:c r="F29" t="n">
        <x:v>3.77</x:v>
      </x:c>
      <x:c r="G29" t="n">
        <x:v>0.12566666666666668</x:v>
      </x:c>
      <x:c r="H29" t="n">
        <x:v>99.58</x:v>
      </x:c>
      <x:c r="I29" t="str">
        <x:v>BATCH-01</x:v>
      </x:c>
      <x:c r="J29" t="str">
        <x:v>Testides</x:v>
      </x:c>
      <x:c r="K29" t="str">
        <x:v>Overfilled</x:v>
      </x:c>
      <x:c r="L29" t="str">
        <x:v>2026-06-15</x:v>
      </x:c>
      <x:c r="M29" t="str">
        <x:v>COA-0031</x:v>
      </x:c>
      <x:c r="N29" t="str">
        <x:v>PT-RETA-30-062226-01</x:v>
      </x:c>
      <x:c r="O29" t="str">
        <x:v>a8c10db6</x:v>
      </x:c>
      <x:c r="P29" t="str">
        <x:v>assets/coa/PT-RETA-30-062226-01.pdf</x:v>
      </x:c>
      <x:c r="Q29" t="str">
        <x:v>Not Listed</x:v>
      </x:c>
      <x:c r="R29" t="str">
        <x:v>Not Listed</x:v>
      </x:c>
      <x:c r="S29" t="str">
        <x:v>Crimp/cap color not listed in PDF.</x:v>
      </x:c>
      <x:c r="T29" t="str">
        <x:v>Retatrutide 30mg; Date received/reported Jun 24, 2026; generated Jul 4, 2026.</x:v>
      </x:c>
    </x:row>
    <x:row r="30">
      <x:c r="A30" t="str">
        <x:v>COA-0032</x:v>
      </x:c>
      <x:c r="B30" t="str">
        <x:v>Semaglutide</x:v>
      </x:c>
      <x:c r="C30" t="str">
        <x:v>GLP-1 / Weight</x:v>
      </x:c>
      <x:c r="D30" t="n">
        <x:v>15</x:v>
      </x:c>
      <x:c r="E30" t="n">
        <x:v>15.53</x:v>
      </x:c>
      <x:c r="F30" t="n">
        <x:v>0.53</x:v>
      </x:c>
      <x:c r="G30" t="n">
        <x:v>0.035333333333333335</x:v>
      </x:c>
      <x:c r="H30" t="n">
        <x:v>99.642</x:v>
      </x:c>
      <x:c r="I30" t="str">
        <x:v>Redacted</x:v>
      </x:c>
      <x:c r="J30" t="str">
        <x:v>Kovera Labs</x:v>
      </x:c>
      <x:c r="K30" t="str">
        <x:v>On label</x:v>
      </x:c>
      <x:c r="L30" t="str">
        <x:v>2026-07-03</x:v>
      </x:c>
      <x:c r="M30" t="str">
        <x:v>COA-0032</x:v>
      </x:c>
      <x:c r="N30" t="str">
        <x:v>Redacted</x:v>
      </x:c>
      <x:c r="O30" t="str">
        <x:v>Redacted</x:v>
      </x:c>
      <x:c r="P30" t="str">
        <x:v>assets/coa/photo_2026-07-04_22-14-31.jpg</x:v>
      </x:c>
      <x:c r="Q30" t="str">
        <x:v>Black</x:v>
      </x:c>
      <x:c r="R30" t="str">
        <x:v>Silver</x:v>
      </x:c>
      <x:c r="S30" t="str">
        <x:v>Black cap / silver crimp per COA image.</x:v>
      </x:c>
      <x:c r="T30" t="str">
        <x:v>Kovera image COA; black cap / silver crimp; heavy metals negative; endotoxin pass. CAS 910463-68-2 visible; report/access code redacted.</x:v>
      </x:c>
    </x:row>
    <x:row r="31">
      <x:c r="A31" t="str">
        <x:v>COA-0033</x:v>
      </x:c>
      <x:c r="B31" t="str">
        <x:v>Tirzepatide</x:v>
      </x:c>
      <x:c r="C31" t="str">
        <x:v>GLP-1 / Weight</x:v>
      </x:c>
      <x:c r="D31" t="n">
        <x:v>30</x:v>
      </x:c>
      <x:c r="E31" t="n">
        <x:v>33.24</x:v>
      </x:c>
      <x:c r="F31" t="n">
        <x:v>3.24</x:v>
      </x:c>
      <x:c r="G31" t="n">
        <x:v>0.10800000000000001</x:v>
      </x:c>
      <x:c r="H31" t="n">
        <x:v>99.6</x:v>
      </x:c>
      <x:c r="I31" t="str">
        <x:v>Redacted</x:v>
      </x:c>
      <x:c r="J31" t="str">
        <x:v>Kovera Labs</x:v>
      </x:c>
      <x:c r="K31" t="str">
        <x:v>Overfilled</x:v>
      </x:c>
      <x:c r="L31" t="str">
        <x:v>2026-07-03</x:v>
      </x:c>
      <x:c r="M31" t="str">
        <x:v>COA-0033</x:v>
      </x:c>
      <x:c r="N31" t="str">
        <x:v>Redacted</x:v>
      </x:c>
      <x:c r="O31" t="str">
        <x:v>Redacted</x:v>
      </x:c>
      <x:c r="P31" t="str">
        <x:v>assets/coa/photo_2026-07-04_22-34-37.jpg</x:v>
      </x:c>
      <x:c r="Q31" t="str">
        <x:v>Blue</x:v>
      </x:c>
      <x:c r="R31" t="str">
        <x:v>Silver</x:v>
      </x:c>
      <x:c r="S31" t="str">
        <x:v>Blue cap / silver crimp per COA image.</x:v>
      </x:c>
      <x:c r="T31" t="str">
        <x:v>Kovera image COA; blue cap / silver crimp; heavy metals negative; endotoxin pass. CAS 2023788-19-2 visible; report/access code redacted.</x:v>
      </x:c>
    </x:row>
    <x:row r="32">
      <x:c r="A32" t="str">
        <x:v>COA-0034</x:v>
      </x:c>
      <x:c r="B32" t="str">
        <x:v>Tirzepatide</x:v>
      </x:c>
      <x:c r="C32" t="str">
        <x:v>GLP-1 / Weight</x:v>
      </x:c>
      <x:c r="D32" t="n">
        <x:v>15</x:v>
      </x:c>
      <x:c r="E32" t="n">
        <x:v>15.59</x:v>
      </x:c>
      <x:c r="F32" t="n">
        <x:v>0.59</x:v>
      </x:c>
      <x:c r="G32" t="n">
        <x:v>0.03933333333333333</x:v>
      </x:c>
      <x:c r="H32" t="n">
        <x:v>99.747</x:v>
      </x:c>
      <x:c r="I32" t="str">
        <x:v>Redacted</x:v>
      </x:c>
      <x:c r="J32" t="str">
        <x:v>Kovera Labs</x:v>
      </x:c>
      <x:c r="K32" t="str">
        <x:v>On label</x:v>
      </x:c>
      <x:c r="L32" t="str">
        <x:v>2026-07-03</x:v>
      </x:c>
      <x:c r="M32" t="str">
        <x:v>COA-0034</x:v>
      </x:c>
      <x:c r="N32" t="str">
        <x:v>Redacted</x:v>
      </x:c>
      <x:c r="O32" t="str">
        <x:v>Redacted</x:v>
      </x:c>
      <x:c r="P32" t="str">
        <x:v>assets/coa/photo_2026-07-04_22-35-21.jpg</x:v>
      </x:c>
      <x:c r="Q32" t="str">
        <x:v>Purple</x:v>
      </x:c>
      <x:c r="R32" t="str">
        <x:v>Silver</x:v>
      </x:c>
      <x:c r="S32" t="str">
        <x:v>Purple cap / silver crimp per COA image.</x:v>
      </x:c>
      <x:c r="T32" t="str">
        <x:v>Kovera image COA; purple cap / silver crimp; heavy metals negative; endotoxin pass. CAS 2023788-19-2 visible; report/access code redacted.</x:v>
      </x:c>
    </x:row>
  </x:sheetData>
  <x:dataValidations count="1">
    <x:dataValidation type="list" allowBlank="0" showDropDown="0" showInputMessage="0" showErrorMessage="0" sqref="H2:H100">
      <x:formula1>"In Stock,Low Stock,Out of Stock,Hold,Needs COA"</x:formula1>
    </x:dataValidation>
  </x:dataValidations>
  <x:pageMargins left="0.7" right="0.7" top="0.75" bottom="0.75" header="0.3" footer="0.3"/>
  <x:tableParts count="1">
    <x:tablePart xmlns:r="http://schemas.openxmlformats.org/officeDocument/2006/relationships" r:id="Rb2086d00ebdd4d6b"/>
  </x:tableParts>
</x:worksheet>
</file>

<file path=xl/worksheets/sheet7.xml><?xml version="1.0" encoding="utf-8"?>
<x:worksheet xmlns:x="http://schemas.openxmlformats.org/spreadsheetml/2006/main">
  <x:sheetFormatPr baseColWidth="8" defaultRowHeight="13.800000190734863"/>
  <x:cols>
    <x:col min="1" max="1" width="10" style="198" customWidth="1"/>
    <x:col min="2" max="2" width="17" style="198" customWidth="1"/>
    <x:col min="3" max="3" width="24" style="198" customWidth="1"/>
    <x:col min="4" max="4" width="21" style="198" customWidth="1"/>
    <x:col min="5" max="5" width="30" style="198" customWidth="1"/>
    <x:col min="6" max="6" width="18" style="198" customWidth="1"/>
    <x:col min="7" max="7" width="40" style="198" customWidth="1"/>
    <x:col min="8" max="8" width="17" style="198" customWidth="1"/>
    <x:col min="9" max="9" width="18" style="198" customWidth="1"/>
    <x:col min="10" max="10" width="21" style="198" customWidth="1"/>
    <x:col min="11" max="11" width="31" style="198" customWidth="1"/>
    <x:col min="12" max="12" width="33" style="198" customWidth="1"/>
    <x:col min="13" max="13" width="10" style="198" customWidth="1"/>
    <x:col min="14" max="14" width="40" style="198" customWidth="1"/>
    <x:col min="15" max="15" width="34" style="198" customWidth="1"/>
    <x:col min="16" max="16" width="21" style="198" customWidth="1"/>
    <x:col min="17" max="17" width="11" style="198" customWidth="1"/>
    <x:col min="18" max="18" width="40" style="198" customWidth="1"/>
    <x:col min="19" max="19" width="13" style="198" customWidth="1"/>
    <x:col min="20" max="20" width="13" style="198" customWidth="1"/>
    <x:col min="21" max="21" width="40" style="198" customWidth="1"/>
    <x:col min="22" max="22" width="16" style="198" customWidth="1"/>
    <x:col min="23" max="23" width="16" style="198" customWidth="1"/>
    <x:col min="24" max="24" width="16" style="198" customWidth="1"/>
    <x:col min="25" max="25" width="16" style="198" customWidth="1"/>
    <x:col min="26" max="26" width="16" style="198" customWidth="1"/>
  </x:cols>
  <x:sheetData>
    <x:row r="1">
      <x:c r="A1" s="363" t="inlineStr">
        <x:is>
          <x:t xml:space="preserve">COA ID</x:t>
        </x:is>
      </x:c>
      <x:c r="B1" s="363" t="inlineStr">
        <x:is>
          <x:t xml:space="preserve">Compound</x:t>
        </x:is>
      </x:c>
      <x:c r="C1" s="363" t="inlineStr">
        <x:is>
          <x:t xml:space="preserve">Compound Type</x:t>
        </x:is>
      </x:c>
      <x:c r="D1" s="363" t="inlineStr">
        <x:is>
          <x:t xml:space="preserve">Lab</x:t>
        </x:is>
      </x:c>
      <x:c r="E1" s="363" t="inlineStr">
        <x:is>
          <x:t xml:space="preserve">Report/Task #</x:t>
        </x:is>
      </x:c>
      <x:c r="F1" s="363" t="inlineStr">
        <x:is>
          <x:t xml:space="preserve">Verification Key</x:t>
        </x:is>
      </x:c>
      <x:c r="G1" s="363" t="inlineStr">
        <x:is>
          <x:t xml:space="preserve">File/Link</x:t>
        </x:is>
      </x:c>
      <x:c r="H1" s="363" t="inlineStr">
        <x:is>
          <x:t xml:space="preserve">Verified?</x:t>
        </x:is>
      </x:c>
      <x:c r="I1" s="363" t="inlineStr">
        <x:is>
          <x:t xml:space="preserve">Labeled Qty (mg)</x:t>
        </x:is>
      </x:c>
      <x:c r="J1" s="363" t="inlineStr">
        <x:is>
          <x:t xml:space="preserve">Actual Content (mg)</x:t>
        </x:is>
      </x:c>
      <x:c r="K1" s="363" t="inlineStr">
        <x:is>
          <x:t xml:space="preserve">Variance (mg)</x:t>
        </x:is>
      </x:c>
      <x:c r="L1" s="363" t="inlineStr">
        <x:is>
          <x:t xml:space="preserve">Variance %</x:t>
        </x:is>
      </x:c>
      <x:c r="M1" s="363" t="inlineStr">
        <x:is>
          <x:t xml:space="preserve">Purity %</x:t>
        </x:is>
      </x:c>
      <x:c r="N1" s="363" t="inlineStr">
        <x:is>
          <x:t xml:space="preserve">Status</x:t>
        </x:is>
      </x:c>
      <x:c r="O1" s="363" t="inlineStr">
        <x:is>
          <x:t xml:space="preserve">Batch/Lot</x:t>
        </x:is>
      </x:c>
      <x:c r="P1" s="363" t="inlineStr">
        <x:is>
          <x:t xml:space="preserve">Test Date</x:t>
        </x:is>
      </x:c>
      <x:c r="Q1" s="363" t="inlineStr">
        <x:is>
          <x:t xml:space="preserve">Pass/Fail</x:t>
        </x:is>
      </x:c>
      <x:c r="R1" s="363" t="inlineStr">
        <x:is>
          <x:t xml:space="preserve">Notes</x:t>
        </x:is>
      </x:c>
      <x:c r="S1" s="363" t="inlineStr">
        <x:is>
          <x:t xml:space="preserve">Crimp Color</x:t>
        </x:is>
      </x:c>
      <x:c r="T1" s="363" t="inlineStr">
        <x:is>
          <x:t xml:space="preserve">Cap Color</x:t>
        </x:is>
      </x:c>
      <x:c r="U1" s="363" t="inlineStr">
        <x:is>
          <x:t xml:space="preserve">Closure Notes</x:t>
        </x:is>
      </x:c>
    </x:row>
    <x:row r="2">
      <x:c r="A2" s="361" t="inlineStr">
        <x:is>
          <x:t xml:space="preserve">COA-0001</x:t>
        </x:is>
      </x:c>
      <x:c r="B2" s="361" t="inlineStr">
        <x:is>
          <x:t xml:space="preserve">Retatrutide</x:t>
        </x:is>
      </x:c>
      <x:c r="C2" s="361" t="inlineStr">
        <x:is>
          <x:t xml:space="preserve">GLP-1 / Weight</x:t>
        </x:is>
      </x:c>
      <x:c r="D2" s="361" t="inlineStr">
        <x:is>
          <x:t xml:space="preserve">Janoshik</x:t>
        </x:is>
      </x:c>
      <x:c r="E2" s="361" t="inlineStr">
        <x:is>
          <x:t xml:space="preserve">#155137</x:t>
        </x:is>
      </x:c>
      <x:c r="F2" s="361" t="inlineStr">
        <x:is>
          <x:t xml:space="preserve">MLPR8T82ANB5</x:t>
        </x:is>
      </x:c>
      <x:c r="G2" s="376" t="inlineStr">
        <x:is>
          <x:t xml:space="preserve">https://janoshik.com/verify/MLPR8T82ANB5</x:t>
        </x:is>
      </x:c>
      <x:c r="H2" s="361" t="inlineStr">
        <x:is>
          <x:t xml:space="preserve">Yes</x:t>
        </x:is>
      </x:c>
      <x:c r="I2" s="361" t="n">
        <x:v>10</x:v>
      </x:c>
      <x:c r="J2" s="361" t="n">
        <x:v>11.8</x:v>
      </x:c>
      <x:c r="K2" s="361" t="n">
        <x:v>1.800000000000001</x:v>
      </x:c>
      <x:c r="L2" s="364" t="n">
        <x:v>0.1800000000000001</x:v>
      </x:c>
      <x:c r="M2" s="362" t="n">
        <x:v>99.51600000000001</x:v>
      </x:c>
      <x:c r="N2" s="365" t="inlineStr">
        <x:is>
          <x:t xml:space="preserve">Overfilled</x:t>
        </x:is>
      </x:c>
      <x:c r="O2" s="361" t="inlineStr">
        <x:is>
          <x:t xml:space="preserve">260425</x:t>
        </x:is>
      </x:c>
      <x:c r="P2" s="366" t="n">
        <x:v>46156</x:v>
      </x:c>
      <x:c r="Q2" s="367" t="inlineStr">
        <x:is>
          <x:t xml:space="preserve">Pass</x:t>
        </x:is>
      </x:c>
      <x:c r="R2" s="361" t="inlineStr">
        <x:is>
          <x:t xml:space="preserve">RT10 - common GLP-1 blind test; overfilled</x:t>
        </x:is>
      </x:c>
      <x:c r="S2" s="368" t="inlineStr">
        <x:is>
          <x:t xml:space="preserve">Not Listed</x:t>
        </x:is>
      </x:c>
      <x:c r="T2" s="368" t="inlineStr">
        <x:is>
          <x:t xml:space="preserve">Not Listed</x:t>
        </x:is>
      </x:c>
      <x:c r="U2" s="361" t="inlineStr">
        <x:is>
          <x:t xml:space="preserve">Crimp/cap color not listed or visible in the COA/testing record.</x:t>
        </x:is>
      </x:c>
    </x:row>
    <x:row r="3">
      <x:c r="A3" s="361" t="inlineStr">
        <x:is>
          <x:t xml:space="preserve">COA-0002</x:t>
        </x:is>
      </x:c>
      <x:c r="B3" s="361" t="inlineStr">
        <x:is>
          <x:t xml:space="preserve">Retatrutide</x:t>
        </x:is>
      </x:c>
      <x:c r="C3" s="361" t="inlineStr">
        <x:is>
          <x:t xml:space="preserve">GLP-1 / Weight</x:t>
        </x:is>
      </x:c>
      <x:c r="D3" s="361" t="inlineStr">
        <x:is>
          <x:t xml:space="preserve">Janoshik</x:t>
        </x:is>
      </x:c>
      <x:c r="E3" s="361" t="inlineStr">
        <x:is>
          <x:t xml:space="preserve">#105187</x:t>
        </x:is>
      </x:c>
      <x:c r="F3" s="361" t="inlineStr">
        <x:is>
          <x:t xml:space="preserve">3UKCXZPJAWQR</x:t>
        </x:is>
      </x:c>
      <x:c r="G3" s="376" t="inlineStr">
        <x:is>
          <x:t xml:space="preserve">https://janoshik.com/verify/3UKCXZPJAWQR</x:t>
        </x:is>
      </x:c>
      <x:c r="H3" s="361" t="inlineStr">
        <x:is>
          <x:t xml:space="preserve">Yes</x:t>
        </x:is>
      </x:c>
      <x:c r="I3" s="361" t="n">
        <x:v>10</x:v>
      </x:c>
      <x:c r="J3" s="361" t="n">
        <x:v>10</x:v>
      </x:c>
      <x:c r="K3" s="361" t="n">
        <x:v>0</x:v>
      </x:c>
      <x:c r="L3" s="364" t="n">
        <x:v>0</x:v>
      </x:c>
      <x:c r="M3" s="362" t="n">
        <x:v>99.369</x:v>
      </x:c>
      <x:c r="N3" s="369" t="inlineStr">
        <x:is>
          <x:t xml:space="preserve">On label</x:t>
        </x:is>
      </x:c>
      <x:c r="O3" s="361" t="inlineStr">
        <x:is>
          <x:t xml:space="preserve">2026.01.26.hva16</x:t>
        </x:is>
      </x:c>
      <x:c r="P3" s="366" t="n">
        <x:v>46057</x:v>
      </x:c>
      <x:c r="Q3" s="367" t="inlineStr">
        <x:is>
          <x:t xml:space="preserve">Pass</x:t>
        </x:is>
      </x:c>
      <x:c r="R3" s="361" t="inlineStr">
        <x:is>
          <x:t xml:space="preserve">On label</x:t>
        </x:is>
      </x:c>
      <x:c r="S3" s="368" t="inlineStr">
        <x:is>
          <x:t xml:space="preserve">Not Listed</x:t>
        </x:is>
      </x:c>
      <x:c r="T3" s="368" t="inlineStr">
        <x:is>
          <x:t xml:space="preserve">Not Listed</x:t>
        </x:is>
      </x:c>
      <x:c r="U3" s="361" t="inlineStr">
        <x:is>
          <x:t xml:space="preserve">Crimp/cap color not listed or visible in the COA/testing record.</x:t>
        </x:is>
      </x:c>
    </x:row>
    <x:row r="4">
      <x:c r="A4" s="361" t="inlineStr">
        <x:is>
          <x:t xml:space="preserve">COA-0003</x:t>
        </x:is>
      </x:c>
      <x:c r="B4" s="361" t="inlineStr">
        <x:is>
          <x:t xml:space="preserve">Retatrutide</x:t>
        </x:is>
      </x:c>
      <x:c r="C4" s="361" t="inlineStr">
        <x:is>
          <x:t xml:space="preserve">GLP-1 / Weight</x:t>
        </x:is>
      </x:c>
      <x:c r="D4" s="361" t="inlineStr">
        <x:is>
          <x:t xml:space="preserve">Kovera Labs</x:t>
        </x:is>
      </x:c>
      <x:c r="E4" s="361" t="inlineStr">
        <x:is>
          <x:t xml:space="preserve">Redacted</x:t>
        </x:is>
      </x:c>
      <x:c r="F4" s="361" t="inlineStr">
        <x:is>
          <x:t xml:space="preserve">Redacted</x:t>
        </x:is>
      </x:c>
      <x:c r="G4" s="361" t="inlineStr">
        <x:is>
          <x:t xml:space="preserve"/>
        </x:is>
      </x:c>
      <x:c r="H4" s="361" t="inlineStr">
        <x:is>
          <x:t xml:space="preserve">Needs file link</x:t>
        </x:is>
      </x:c>
      <x:c r="I4" s="361" t="n">
        <x:v>5</x:v>
      </x:c>
      <x:c r="J4" s="361" t="n">
        <x:v>6.63</x:v>
      </x:c>
      <x:c r="K4" s="361" t="n">
        <x:v>1.63</x:v>
      </x:c>
      <x:c r="L4" s="364" t="n">
        <x:v>0.326</x:v>
      </x:c>
      <x:c r="M4" s="362" t="n">
        <x:v>99.654</x:v>
      </x:c>
      <x:c r="N4" s="365" t="inlineStr">
        <x:is>
          <x:t xml:space="preserve">Overfilled</x:t>
        </x:is>
      </x:c>
      <x:c r="O4" s="361" t="inlineStr">
        <x:is>
          <x:t xml:space="preserve">Redacted</x:t>
        </x:is>
      </x:c>
      <x:c r="P4" s="366" t="n">
        <x:v>46174</x:v>
      </x:c>
      <x:c r="Q4" s="367" t="inlineStr">
        <x:is>
          <x:t xml:space="preserve">Pass</x:t>
        </x:is>
      </x:c>
      <x:c r="R4" s="361" t="inlineStr">
        <x:is>
          <x:t xml:space="preserve">Heavy metals negative; endotoxin pass</x:t>
        </x:is>
      </x:c>
      <x:c r="S4" s="368" t="inlineStr">
        <x:is>
          <x:t xml:space="preserve">Not Listed</x:t>
        </x:is>
      </x:c>
      <x:c r="T4" s="368" t="inlineStr">
        <x:is>
          <x:t xml:space="preserve">Not Listed</x:t>
        </x:is>
      </x:c>
      <x:c r="U4" s="361" t="inlineStr">
        <x:is>
          <x:t xml:space="preserve">Crimp/cap color not listed or visible in the COA/testing record.</x:t>
        </x:is>
      </x:c>
    </x:row>
    <x:row r="5">
      <x:c r="A5" s="361" t="inlineStr">
        <x:is>
          <x:t xml:space="preserve">COA-0004</x:t>
        </x:is>
      </x:c>
      <x:c r="B5" s="361" t="inlineStr">
        <x:is>
          <x:t xml:space="preserve">Retatrutide</x:t>
        </x:is>
      </x:c>
      <x:c r="C5" s="361" t="inlineStr">
        <x:is>
          <x:t xml:space="preserve">GLP-1 / Weight</x:t>
        </x:is>
      </x:c>
      <x:c r="D5" s="361" t="inlineStr">
        <x:is>
          <x:t xml:space="preserve">Kovera Labs</x:t>
        </x:is>
      </x:c>
      <x:c r="E5" s="361" t="inlineStr">
        <x:is>
          <x:t xml:space="preserve">Redacted</x:t>
        </x:is>
      </x:c>
      <x:c r="F5" s="361" t="inlineStr">
        <x:is>
          <x:t xml:space="preserve">Redacted</x:t>
        </x:is>
      </x:c>
      <x:c r="G5" s="361" t="inlineStr">
        <x:is>
          <x:t xml:space="preserve"/>
        </x:is>
      </x:c>
      <x:c r="H5" s="361" t="inlineStr">
        <x:is>
          <x:t xml:space="preserve">Needs file link</x:t>
        </x:is>
      </x:c>
      <x:c r="I5" s="361" t="n">
        <x:v>15</x:v>
      </x:c>
      <x:c r="J5" s="361" t="n">
        <x:v>17.93</x:v>
      </x:c>
      <x:c r="K5" s="361" t="n">
        <x:v>2.93</x:v>
      </x:c>
      <x:c r="L5" s="364" t="n">
        <x:v>0.1953333333333333</x:v>
      </x:c>
      <x:c r="M5" s="362" t="n">
        <x:v>99.491</x:v>
      </x:c>
      <x:c r="N5" s="365" t="inlineStr">
        <x:is>
          <x:t xml:space="preserve">Overfilled</x:t>
        </x:is>
      </x:c>
      <x:c r="O5" s="361" t="inlineStr">
        <x:is>
          <x:t xml:space="preserve">Redacted</x:t>
        </x:is>
      </x:c>
      <x:c r="P5" s="366" t="n">
        <x:v>46175</x:v>
      </x:c>
      <x:c r="Q5" s="367" t="inlineStr">
        <x:is>
          <x:t xml:space="preserve">Pass</x:t>
        </x:is>
      </x:c>
      <x:c r="R5" s="361" t="inlineStr">
        <x:is>
          <x:t xml:space="preserve">Heavy metals negative; endotoxin pass</x:t>
        </x:is>
      </x:c>
      <x:c r="S5" s="368" t="inlineStr">
        <x:is>
          <x:t xml:space="preserve">Not Listed</x:t>
        </x:is>
      </x:c>
      <x:c r="T5" s="368" t="inlineStr">
        <x:is>
          <x:t xml:space="preserve">Not Listed</x:t>
        </x:is>
      </x:c>
      <x:c r="U5" s="361" t="inlineStr">
        <x:is>
          <x:t xml:space="preserve">Crimp/cap color not listed or visible in the COA/testing record.</x:t>
        </x:is>
      </x:c>
    </x:row>
    <x:row r="6">
      <x:c r="A6" s="361" t="inlineStr">
        <x:is>
          <x:t xml:space="preserve">COA-0005</x:t>
        </x:is>
      </x:c>
      <x:c r="B6" s="361" t="inlineStr">
        <x:is>
          <x:t xml:space="preserve">Retatrutide</x:t>
        </x:is>
      </x:c>
      <x:c r="C6" s="361" t="inlineStr">
        <x:is>
          <x:t xml:space="preserve">GLP-1 / Weight</x:t>
        </x:is>
      </x:c>
      <x:c r="D6" s="361" t="inlineStr">
        <x:is>
          <x:t xml:space="preserve">Kovera Labs</x:t>
        </x:is>
      </x:c>
      <x:c r="E6" s="361" t="inlineStr">
        <x:is>
          <x:t xml:space="preserve">KVR-2026-A91FF9</x:t>
        </x:is>
      </x:c>
      <x:c r="F6" s="361" t="inlineStr">
        <x:is>
          <x:t xml:space="preserve">N/A</x:t>
        </x:is>
      </x:c>
      <x:c r="G6" s="361" t="inlineStr">
        <x:is>
          <x:t xml:space="preserve"/>
        </x:is>
      </x:c>
      <x:c r="H6" s="361" t="inlineStr">
        <x:is>
          <x:t xml:space="preserve">Needs file link</x:t>
        </x:is>
      </x:c>
      <x:c r="I6" s="361" t="n">
        <x:v>10</x:v>
      </x:c>
      <x:c r="J6" s="361" t="n">
        <x:v>11.77</x:v>
      </x:c>
      <x:c r="K6" s="361" t="n">
        <x:v>1.77</x:v>
      </x:c>
      <x:c r="L6" s="364" t="n">
        <x:v>0.177</x:v>
      </x:c>
      <x:c r="M6" s="362" t="n">
        <x:v>99.96299999999999</x:v>
      </x:c>
      <x:c r="N6" s="365" t="inlineStr">
        <x:is>
          <x:t xml:space="preserve">Overfilled</x:t>
        </x:is>
      </x:c>
      <x:c r="O6" s="361" t="inlineStr">
        <x:is>
          <x:t xml:space="preserve">RT10-0331</x:t>
        </x:is>
      </x:c>
      <x:c r="P6" s="366" t="n">
        <x:v>46117</x:v>
      </x:c>
      <x:c r="Q6" s="367" t="inlineStr">
        <x:is>
          <x:t xml:space="preserve">Pass</x:t>
        </x:is>
      </x:c>
      <x:c r="R6" s="361" t="inlineStr">
        <x:is>
          <x:t xml:space="preserve">Trivial-3R / Retatrutide; batch avg</x:t>
        </x:is>
      </x:c>
      <x:c r="S6" s="368" t="inlineStr">
        <x:is>
          <x:t xml:space="preserve">Not Listed</x:t>
        </x:is>
      </x:c>
      <x:c r="T6" s="368" t="inlineStr">
        <x:is>
          <x:t xml:space="preserve">Not Listed</x:t>
        </x:is>
      </x:c>
      <x:c r="U6" s="361" t="inlineStr">
        <x:is>
          <x:t xml:space="preserve">Crimp/cap color not listed or visible in the COA/testing record.</x:t>
        </x:is>
      </x:c>
    </x:row>
    <x:row r="7">
      <x:c r="A7" s="361" t="inlineStr">
        <x:is>
          <x:t xml:space="preserve">COA-0006</x:t>
        </x:is>
      </x:c>
      <x:c r="B7" s="361" t="inlineStr">
        <x:is>
          <x:t xml:space="preserve">Retatrutide</x:t>
        </x:is>
      </x:c>
      <x:c r="C7" s="361" t="inlineStr">
        <x:is>
          <x:t xml:space="preserve">GLP-1 / Weight</x:t>
        </x:is>
      </x:c>
      <x:c r="D7" s="361" t="inlineStr">
        <x:is>
          <x:t xml:space="preserve">Aminos Analytics</x:t>
        </x:is>
      </x:c>
      <x:c r="E7" s="361" t="inlineStr">
        <x:is>
          <x:t xml:space="preserve">Redacted</x:t>
        </x:is>
      </x:c>
      <x:c r="F7" s="361" t="inlineStr">
        <x:is>
          <x:t xml:space="preserve">N/A</x:t>
        </x:is>
      </x:c>
      <x:c r="G7" s="361" t="inlineStr">
        <x:is>
          <x:t xml:space="preserve"/>
        </x:is>
      </x:c>
      <x:c r="H7" s="361" t="inlineStr">
        <x:is>
          <x:t xml:space="preserve">Needs file link</x:t>
        </x:is>
      </x:c>
      <x:c r="I7" s="361" t="n"/>
      <x:c r="J7" s="361" t="n">
        <x:v>22.47</x:v>
      </x:c>
      <x:c r="K7" s="361" t="e">
        <x:f>IF(OR(D7="",E7=""),"",E7-D7)</x:f>
      </x:c>
      <x:c r="L7" s="364" t="e">
        <x:f>IF(OR(D7="",E7=""),"",E7/D7-1)</x:f>
      </x:c>
      <x:c r="M7" s="362" t="n">
        <x:v>99.5</x:v>
      </x:c>
      <x:c r="N7" s="370" t="str">
        <x:f>IF(G7="","Review",IF(G7&gt;0.03,"Overfilled",IF(G7&lt;-0.03,"Underfilled","On label")))</x:f>
        <x:v>Review</x:v>
      </x:c>
      <x:c r="O7" s="361" t="inlineStr">
        <x:is>
          <x:t xml:space="preserve">Not provided</x:t>
        </x:is>
      </x:c>
      <x:c r="P7" s="366" t="n">
        <x:v>46146</x:v>
      </x:c>
      <x:c r="Q7" s="367" t="inlineStr">
        <x:is>
          <x:t xml:space="preserve">Pass</x:t>
        </x:is>
      </x:c>
      <x:c r="R7" s="361" t="inlineStr">
        <x:is>
          <x:t xml:space="preserve">Labeled quantity unclear from image</x:t>
        </x:is>
      </x:c>
      <x:c r="S7" s="368" t="inlineStr">
        <x:is>
          <x:t xml:space="preserve">Not Listed</x:t>
        </x:is>
      </x:c>
      <x:c r="T7" s="368" t="inlineStr">
        <x:is>
          <x:t xml:space="preserve">Not Listed</x:t>
        </x:is>
      </x:c>
      <x:c r="U7" s="361" t="inlineStr">
        <x:is>
          <x:t xml:space="preserve">Crimp/cap color not listed or visible in the COA/testing record.</x:t>
        </x:is>
      </x:c>
    </x:row>
    <x:row r="8">
      <x:c r="A8" s="361" t="inlineStr">
        <x:is>
          <x:t xml:space="preserve">COA-0007</x:t>
        </x:is>
      </x:c>
      <x:c r="B8" s="361" t="inlineStr">
        <x:is>
          <x:t xml:space="preserve">Tirzepatide</x:t>
        </x:is>
      </x:c>
      <x:c r="C8" s="361" t="inlineStr">
        <x:is>
          <x:t xml:space="preserve">GLP-1 / Weight</x:t>
        </x:is>
      </x:c>
      <x:c r="D8" s="361" t="inlineStr">
        <x:is>
          <x:t xml:space="preserve">BT Labs</x:t>
        </x:is>
      </x:c>
      <x:c r="E8" s="361" t="inlineStr">
        <x:is>
          <x:t xml:space="preserve">IF-824-QSA-TR006-BTL26263-02</x:t>
        </x:is>
      </x:c>
      <x:c r="F8" s="361" t="inlineStr">
        <x:is>
          <x:t xml:space="preserve">N/A</x:t>
        </x:is>
      </x:c>
      <x:c r="G8" s="361" t="inlineStr">
        <x:is>
          <x:t xml:space="preserve"/>
        </x:is>
      </x:c>
      <x:c r="H8" s="361" t="inlineStr">
        <x:is>
          <x:t xml:space="preserve">Needs file link</x:t>
        </x:is>
      </x:c>
      <x:c r="I8" s="361" t="n">
        <x:v>20</x:v>
      </x:c>
      <x:c r="J8" s="361" t="n">
        <x:v>26</x:v>
      </x:c>
      <x:c r="K8" s="361" t="n">
        <x:v>6</x:v>
      </x:c>
      <x:c r="L8" s="364" t="n">
        <x:v>0.3</x:v>
      </x:c>
      <x:c r="M8" s="362" t="n">
        <x:v>99.7</x:v>
      </x:c>
      <x:c r="N8" s="365" t="inlineStr">
        <x:is>
          <x:t xml:space="preserve">Overfilled</x:t>
        </x:is>
      </x:c>
      <x:c r="O8" s="361" t="inlineStr">
        <x:is>
          <x:t xml:space="preserve">0426royal</x:t>
        </x:is>
      </x:c>
      <x:c r="P8" s="366" t="n">
        <x:v>46133</x:v>
      </x:c>
      <x:c r="Q8" s="367" t="inlineStr">
        <x:is>
          <x:t xml:space="preserve">Pass</x:t>
        </x:is>
      </x:c>
      <x:c r="R8" s="361" t="inlineStr">
        <x:is>
          <x:t xml:space="preserve">20 mg label; 130.1% potency</x:t>
        </x:is>
      </x:c>
      <x:c r="S8" s="368" t="inlineStr">
        <x:is>
          <x:t xml:space="preserve">Not Listed</x:t>
        </x:is>
      </x:c>
      <x:c r="T8" s="371" t="inlineStr">
        <x:is>
          <x:t xml:space="preserve">Royal Blue</x:t>
        </x:is>
      </x:c>
      <x:c r="U8" s="361" t="inlineStr">
        <x:is>
          <x:t xml:space="preserve">Cap color copied from COA/batch descriptor: 0426royal.</x:t>
        </x:is>
      </x:c>
    </x:row>
    <x:row r="9">
      <x:c r="A9" s="361" t="inlineStr">
        <x:is>
          <x:t xml:space="preserve">COA-0008</x:t>
        </x:is>
      </x:c>
      <x:c r="B9" s="361" t="inlineStr">
        <x:is>
          <x:t xml:space="preserve">Tirzepatide</x:t>
        </x:is>
      </x:c>
      <x:c r="C9" s="361" t="inlineStr">
        <x:is>
          <x:t xml:space="preserve">GLP-1 / Weight</x:t>
        </x:is>
      </x:c>
      <x:c r="D9" s="361" t="inlineStr">
        <x:is>
          <x:t xml:space="preserve">BT Labs</x:t>
        </x:is>
      </x:c>
      <x:c r="E9" s="361" t="inlineStr">
        <x:is>
          <x:t xml:space="preserve">IF-824-QSA-TR006-BTL2695-01</x:t>
        </x:is>
      </x:c>
      <x:c r="F9" s="361" t="inlineStr">
        <x:is>
          <x:t xml:space="preserve">N/A</x:t>
        </x:is>
      </x:c>
      <x:c r="G9" s="361" t="inlineStr">
        <x:is>
          <x:t xml:space="preserve"/>
        </x:is>
      </x:c>
      <x:c r="H9" s="361" t="inlineStr">
        <x:is>
          <x:t xml:space="preserve">Needs file link</x:t>
        </x:is>
      </x:c>
      <x:c r="I9" s="361" t="n">
        <x:v>40</x:v>
      </x:c>
      <x:c r="J9" s="361" t="n">
        <x:v>46.6</x:v>
      </x:c>
      <x:c r="K9" s="361" t="n">
        <x:v>6.600000000000001</x:v>
      </x:c>
      <x:c r="L9" s="364" t="n">
        <x:v>0.165</x:v>
      </x:c>
      <x:c r="M9" s="362" t="n">
        <x:v>99.7</x:v>
      </x:c>
      <x:c r="N9" s="365" t="inlineStr">
        <x:is>
          <x:t xml:space="preserve">Overfilled</x:t>
        </x:is>
      </x:c>
      <x:c r="O9" s="361" t="inlineStr">
        <x:is>
          <x:t xml:space="preserve">0325GrayStorm</x:t>
        </x:is>
      </x:c>
      <x:c r="P9" s="366" t="n">
        <x:v>46106</x:v>
      </x:c>
      <x:c r="Q9" s="367" t="inlineStr">
        <x:is>
          <x:t xml:space="preserve">Pass</x:t>
        </x:is>
      </x:c>
      <x:c r="R9" s="361" t="inlineStr">
        <x:is>
          <x:t xml:space="preserve">40 mg label; 116.4% potency</x:t>
        </x:is>
      </x:c>
      <x:c r="S9" s="368" t="inlineStr">
        <x:is>
          <x:t xml:space="preserve">Not Listed</x:t>
        </x:is>
      </x:c>
      <x:c r="T9" s="372" t="inlineStr">
        <x:is>
          <x:t xml:space="preserve">Gray</x:t>
        </x:is>
      </x:c>
      <x:c r="U9" s="361" t="inlineStr">
        <x:is>
          <x:t xml:space="preserve">Cap color copied from COA/batch descriptor: 0325GrayStorm.</x:t>
        </x:is>
      </x:c>
    </x:row>
    <x:row r="10">
      <x:c r="A10" s="361" t="inlineStr">
        <x:is>
          <x:t xml:space="preserve">COA-0009</x:t>
        </x:is>
      </x:c>
      <x:c r="B10" s="361" t="inlineStr">
        <x:is>
          <x:t xml:space="preserve">Tirzepatide</x:t>
        </x:is>
      </x:c>
      <x:c r="C10" s="361" t="inlineStr">
        <x:is>
          <x:t xml:space="preserve">GLP-1 / Weight</x:t>
        </x:is>
      </x:c>
      <x:c r="D10" s="361" t="inlineStr">
        <x:is>
          <x:t xml:space="preserve">BT Labs</x:t>
        </x:is>
      </x:c>
      <x:c r="E10" s="361" t="inlineStr">
        <x:is>
          <x:t xml:space="preserve">IF-824-QSA-TR006-BTL26263-01</x:t>
        </x:is>
      </x:c>
      <x:c r="F10" s="361" t="inlineStr">
        <x:is>
          <x:t xml:space="preserve">N/A</x:t>
        </x:is>
      </x:c>
      <x:c r="G10" s="361" t="inlineStr">
        <x:is>
          <x:t xml:space="preserve"/>
        </x:is>
      </x:c>
      <x:c r="H10" s="361" t="inlineStr">
        <x:is>
          <x:t xml:space="preserve">Needs file link</x:t>
        </x:is>
      </x:c>
      <x:c r="I10" s="361" t="n">
        <x:v>60</x:v>
      </x:c>
      <x:c r="J10" s="361" t="n">
        <x:v>65.09999999999999</x:v>
      </x:c>
      <x:c r="K10" s="361" t="n">
        <x:v>5.099999999999994</x:v>
      </x:c>
      <x:c r="L10" s="364" t="n">
        <x:v>0.08499999999999991</x:v>
      </x:c>
      <x:c r="M10" s="362" t="n">
        <x:v>99.8</x:v>
      </x:c>
      <x:c r="N10" s="365" t="inlineStr">
        <x:is>
          <x:t xml:space="preserve">Overfilled</x:t>
        </x:is>
      </x:c>
      <x:c r="O10" s="361" t="inlineStr">
        <x:is>
          <x:t xml:space="preserve">0426goldrush</x:t>
        </x:is>
      </x:c>
      <x:c r="P10" s="366" t="n">
        <x:v>46133</x:v>
      </x:c>
      <x:c r="Q10" s="367" t="inlineStr">
        <x:is>
          <x:t xml:space="preserve">Pass</x:t>
        </x:is>
      </x:c>
      <x:c r="R10" s="361" t="inlineStr">
        <x:is>
          <x:t xml:space="preserve">60 mg label; 108.5% potency</x:t>
        </x:is>
      </x:c>
      <x:c r="S10" s="368" t="inlineStr">
        <x:is>
          <x:t xml:space="preserve">Not Listed</x:t>
        </x:is>
      </x:c>
      <x:c r="T10" s="373" t="inlineStr">
        <x:is>
          <x:t xml:space="preserve">Gold</x:t>
        </x:is>
      </x:c>
      <x:c r="U10" s="361" t="inlineStr">
        <x:is>
          <x:t xml:space="preserve">Cap color copied from COA/batch descriptor: 0426goldrush.</x:t>
        </x:is>
      </x:c>
    </x:row>
    <x:row r="11">
      <x:c r="A11" s="361" t="inlineStr">
        <x:is>
          <x:t xml:space="preserve">COA-0010</x:t>
        </x:is>
      </x:c>
      <x:c r="B11" s="361" t="inlineStr">
        <x:is>
          <x:t xml:space="preserve">Tirzepatide</x:t>
        </x:is>
      </x:c>
      <x:c r="C11" s="361" t="inlineStr">
        <x:is>
          <x:t xml:space="preserve">GLP-1 / Weight</x:t>
        </x:is>
      </x:c>
      <x:c r="D11" s="361" t="inlineStr">
        <x:is>
          <x:t xml:space="preserve">Janoshik</x:t>
        </x:is>
      </x:c>
      <x:c r="E11" s="361" t="inlineStr">
        <x:is>
          <x:t xml:space="preserve">#106031</x:t>
        </x:is>
      </x:c>
      <x:c r="F11" s="361" t="inlineStr">
        <x:is>
          <x:t xml:space="preserve">GH4JPK2IUTGP</x:t>
        </x:is>
      </x:c>
      <x:c r="G11" s="376" t="inlineStr">
        <x:is>
          <x:t xml:space="preserve">https://janoshik.com/verify/GH4JPK2IUTGP</x:t>
        </x:is>
      </x:c>
      <x:c r="H11" s="361" t="inlineStr">
        <x:is>
          <x:t xml:space="preserve">Yes</x:t>
        </x:is>
      </x:c>
      <x:c r="I11" s="361" t="n">
        <x:v>30</x:v>
      </x:c>
      <x:c r="J11" s="361" t="n">
        <x:v>32.5</x:v>
      </x:c>
      <x:c r="K11" s="361" t="n">
        <x:v>2.5</x:v>
      </x:c>
      <x:c r="L11" s="364" t="n">
        <x:v>0.08333333333333333</x:v>
      </x:c>
      <x:c r="M11" s="362" t="n">
        <x:v>99.84</x:v>
      </x:c>
      <x:c r="N11" s="365" t="inlineStr">
        <x:is>
          <x:t xml:space="preserve">Overfilled</x:t>
        </x:is>
      </x:c>
      <x:c r="O11" s="361" t="inlineStr">
        <x:is>
          <x:t xml:space="preserve">2026.01.26.hva16</x:t>
        </x:is>
      </x:c>
      <x:c r="P11" s="366" t="n">
        <x:v>46059</x:v>
      </x:c>
      <x:c r="Q11" s="367" t="inlineStr">
        <x:is>
          <x:t xml:space="preserve">Pass</x:t>
        </x:is>
      </x:c>
      <x:c r="R11" s="361" t="inlineStr">
        <x:is>
          <x:t xml:space="preserve">30 mg label</x:t>
        </x:is>
      </x:c>
      <x:c r="S11" s="368" t="inlineStr">
        <x:is>
          <x:t xml:space="preserve">Not Listed</x:t>
        </x:is>
      </x:c>
      <x:c r="T11" s="368" t="inlineStr">
        <x:is>
          <x:t xml:space="preserve">Not Listed</x:t>
        </x:is>
      </x:c>
      <x:c r="U11" s="361" t="inlineStr">
        <x:is>
          <x:t xml:space="preserve">Crimp/cap color not listed or visible in the COA/testing record.</x:t>
        </x:is>
      </x:c>
    </x:row>
    <x:row r="12">
      <x:c r="A12" s="361" t="inlineStr">
        <x:is>
          <x:t xml:space="preserve">COA-0011</x:t>
        </x:is>
      </x:c>
      <x:c r="B12" s="361" t="inlineStr">
        <x:is>
          <x:t xml:space="preserve">Cagrilintide</x:t>
        </x:is>
      </x:c>
      <x:c r="C12" s="361" t="inlineStr">
        <x:is>
          <x:t xml:space="preserve">GLP-1 / Weight</x:t>
        </x:is>
      </x:c>
      <x:c r="D12" s="361" t="inlineStr">
        <x:is>
          <x:t xml:space="preserve">Janoshik</x:t>
        </x:is>
      </x:c>
      <x:c r="E12" s="361" t="inlineStr">
        <x:is>
          <x:t xml:space="preserve">#155157</x:t>
        </x:is>
      </x:c>
      <x:c r="F12" s="361" t="inlineStr">
        <x:is>
          <x:t xml:space="preserve">YEM8I1Y94JVT</x:t>
        </x:is>
      </x:c>
      <x:c r="G12" s="376" t="inlineStr">
        <x:is>
          <x:t xml:space="preserve">https://janoshik.com/verify/YEM8I1Y94JVT</x:t>
        </x:is>
      </x:c>
      <x:c r="H12" s="361" t="inlineStr">
        <x:is>
          <x:t xml:space="preserve">Yes</x:t>
        </x:is>
      </x:c>
      <x:c r="I12" s="361" t="n">
        <x:v>10</x:v>
      </x:c>
      <x:c r="J12" s="361" t="n">
        <x:v>10.47</x:v>
      </x:c>
      <x:c r="K12" s="361" t="n">
        <x:v>0.4700000000000006</x:v>
      </x:c>
      <x:c r="L12" s="364" t="n">
        <x:v>0.04700000000000006</x:v>
      </x:c>
      <x:c r="M12" s="362" t="n">
        <x:v>99.04000000000001</x:v>
      </x:c>
      <x:c r="N12" s="369" t="inlineStr">
        <x:is>
          <x:t xml:space="preserve">On label</x:t>
        </x:is>
      </x:c>
      <x:c r="O12" s="361" t="inlineStr">
        <x:is>
          <x:t xml:space="preserve">260425</x:t>
        </x:is>
      </x:c>
      <x:c r="P12" s="366" t="n">
        <x:v>46155</x:v>
      </x:c>
      <x:c r="Q12" s="367" t="inlineStr">
        <x:is>
          <x:t xml:space="preserve">Pass</x:t>
        </x:is>
      </x:c>
      <x:c r="R12" s="361" t="inlineStr">
        <x:is>
          <x:t xml:space="preserve">Overfilled</x:t>
        </x:is>
      </x:c>
      <x:c r="S12" s="368" t="inlineStr">
        <x:is>
          <x:t xml:space="preserve">Not Listed</x:t>
        </x:is>
      </x:c>
      <x:c r="T12" s="368" t="inlineStr">
        <x:is>
          <x:t xml:space="preserve">Not Listed</x:t>
        </x:is>
      </x:c>
      <x:c r="U12" s="361" t="inlineStr">
        <x:is>
          <x:t xml:space="preserve">Crimp/cap color not listed or visible in the COA/testing record.</x:t>
        </x:is>
      </x:c>
    </x:row>
    <x:row r="13">
      <x:c r="A13" s="361" t="inlineStr">
        <x:is>
          <x:t xml:space="preserve">COA-0012</x:t>
        </x:is>
      </x:c>
      <x:c r="B13" s="361" t="inlineStr">
        <x:is>
          <x:t xml:space="preserve">AOD-9604</x:t>
        </x:is>
      </x:c>
      <x:c r="C13" s="361" t="inlineStr">
        <x:is>
          <x:t xml:space="preserve">Metabolic / Fat Loss</x:t>
        </x:is>
      </x:c>
      <x:c r="D13" s="361" t="inlineStr">
        <x:is>
          <x:t xml:space="preserve">Janoshik</x:t>
        </x:is>
      </x:c>
      <x:c r="E13" s="361" t="inlineStr">
        <x:is>
          <x:t xml:space="preserve">#155207</x:t>
        </x:is>
      </x:c>
      <x:c r="F13" s="361" t="inlineStr">
        <x:is>
          <x:t xml:space="preserve">R61XS7CAKNZS</x:t>
        </x:is>
      </x:c>
      <x:c r="G13" s="376" t="inlineStr">
        <x:is>
          <x:t xml:space="preserve">https://janoshik.com/verify/R61XS7CAKNZS</x:t>
        </x:is>
      </x:c>
      <x:c r="H13" s="361" t="inlineStr">
        <x:is>
          <x:t xml:space="preserve">Yes</x:t>
        </x:is>
      </x:c>
      <x:c r="I13" s="361" t="n">
        <x:v>5</x:v>
      </x:c>
      <x:c r="J13" s="361" t="n">
        <x:v>5.95</x:v>
      </x:c>
      <x:c r="K13" s="361" t="n">
        <x:v>0.9500000000000002</x:v>
      </x:c>
      <x:c r="L13" s="364" t="n">
        <x:v>0.19</x:v>
      </x:c>
      <x:c r="M13" s="362" t="n">
        <x:v>99.883</x:v>
      </x:c>
      <x:c r="N13" s="365" t="inlineStr">
        <x:is>
          <x:t xml:space="preserve">Overfilled</x:t>
        </x:is>
      </x:c>
      <x:c r="O13" s="361" t="inlineStr">
        <x:is>
          <x:t xml:space="preserve">260425</x:t>
        </x:is>
      </x:c>
      <x:c r="P13" s="366" t="n">
        <x:v>46156</x:v>
      </x:c>
      <x:c r="Q13" s="367" t="inlineStr">
        <x:is>
          <x:t xml:space="preserve">Pass</x:t>
        </x:is>
      </x:c>
      <x:c r="R13" s="361" t="inlineStr">
        <x:is>
          <x:t xml:space="preserve">rHGH fragment / AOD-9604</x:t>
        </x:is>
      </x:c>
      <x:c r="S13" s="368" t="inlineStr">
        <x:is>
          <x:t xml:space="preserve">Not Listed</x:t>
        </x:is>
      </x:c>
      <x:c r="T13" s="368" t="inlineStr">
        <x:is>
          <x:t xml:space="preserve">Not Listed</x:t>
        </x:is>
      </x:c>
      <x:c r="U13" s="361" t="inlineStr">
        <x:is>
          <x:t xml:space="preserve">Crimp/cap color not listed or visible in the COA/testing record.</x:t>
        </x:is>
      </x:c>
    </x:row>
    <x:row r="14">
      <x:c r="A14" s="361" t="inlineStr">
        <x:is>
          <x:t xml:space="preserve">COA-0013</x:t>
        </x:is>
      </x:c>
      <x:c r="B14" s="361" t="inlineStr">
        <x:is>
          <x:t xml:space="preserve">MOTS-C</x:t>
        </x:is>
      </x:c>
      <x:c r="C14" s="361" t="inlineStr">
        <x:is>
          <x:t xml:space="preserve">Metabolic / Mito</x:t>
        </x:is>
      </x:c>
      <x:c r="D14" s="361" t="inlineStr">
        <x:is>
          <x:t xml:space="preserve">Janoshik</x:t>
        </x:is>
      </x:c>
      <x:c r="E14" s="361" t="inlineStr">
        <x:is>
          <x:t xml:space="preserve">#105204</x:t>
        </x:is>
      </x:c>
      <x:c r="F14" s="361" t="inlineStr">
        <x:is>
          <x:t xml:space="preserve">PZAGRTQCMKEN</x:t>
        </x:is>
      </x:c>
      <x:c r="G14" s="376" t="inlineStr">
        <x:is>
          <x:t xml:space="preserve">https://janoshik.com/verify/PZAGRTQCMKEN</x:t>
        </x:is>
      </x:c>
      <x:c r="H14" s="361" t="inlineStr">
        <x:is>
          <x:t xml:space="preserve">Yes</x:t>
        </x:is>
      </x:c>
      <x:c r="I14" s="361" t="n">
        <x:v>10</x:v>
      </x:c>
      <x:c r="J14" s="361" t="n">
        <x:v>10.58</x:v>
      </x:c>
      <x:c r="K14" s="361" t="n">
        <x:v>0.5800000000000001</x:v>
      </x:c>
      <x:c r="L14" s="364" t="n">
        <x:v>0.05800000000000001</x:v>
      </x:c>
      <x:c r="M14" s="362" t="n">
        <x:v>99.84699999999999</x:v>
      </x:c>
      <x:c r="N14" s="365" t="inlineStr">
        <x:is>
          <x:t xml:space="preserve">Overfilled</x:t>
        </x:is>
      </x:c>
      <x:c r="O14" s="361" t="inlineStr">
        <x:is>
          <x:t xml:space="preserve">2026.01.26.hva16</x:t>
        </x:is>
      </x:c>
      <x:c r="P14" s="366" t="n">
        <x:v>46057</x:v>
      </x:c>
      <x:c r="Q14" s="367" t="inlineStr">
        <x:is>
          <x:t xml:space="preserve">Pass</x:t>
        </x:is>
      </x:c>
      <x:c r="R14" s="361" t="inlineStr">
        <x:is>
          <x:t xml:space="preserve">10 mg label</x:t>
        </x:is>
      </x:c>
      <x:c r="S14" s="368" t="inlineStr">
        <x:is>
          <x:t xml:space="preserve">Not Listed</x:t>
        </x:is>
      </x:c>
      <x:c r="T14" s="368" t="inlineStr">
        <x:is>
          <x:t xml:space="preserve">Not Listed</x:t>
        </x:is>
      </x:c>
      <x:c r="U14" s="361" t="inlineStr">
        <x:is>
          <x:t xml:space="preserve">Crimp/cap color not listed or visible in the COA/testing record.</x:t>
        </x:is>
      </x:c>
    </x:row>
    <x:row r="15">
      <x:c r="A15" s="361" t="inlineStr">
        <x:is>
          <x:t xml:space="preserve">COA-0014</x:t>
        </x:is>
      </x:c>
      <x:c r="B15" s="361" t="inlineStr">
        <x:is>
          <x:t xml:space="preserve">MOTS-C</x:t>
        </x:is>
      </x:c>
      <x:c r="C15" s="361" t="inlineStr">
        <x:is>
          <x:t xml:space="preserve">Metabolic / Mito</x:t>
        </x:is>
      </x:c>
      <x:c r="D15" s="361" t="inlineStr">
        <x:is>
          <x:t xml:space="preserve">Janoshik</x:t>
        </x:is>
      </x:c>
      <x:c r="E15" s="361" t="inlineStr">
        <x:is>
          <x:t xml:space="preserve">#155147</x:t>
        </x:is>
      </x:c>
      <x:c r="F15" s="361" t="inlineStr">
        <x:is>
          <x:t xml:space="preserve">UVM6E4JHM32H</x:t>
        </x:is>
      </x:c>
      <x:c r="G15" s="376" t="inlineStr">
        <x:is>
          <x:t xml:space="preserve">https://janoshik.com/verify/UVM6E4JHM32H</x:t>
        </x:is>
      </x:c>
      <x:c r="H15" s="361" t="inlineStr">
        <x:is>
          <x:t xml:space="preserve">Yes</x:t>
        </x:is>
      </x:c>
      <x:c r="I15" s="361" t="n">
        <x:v>10</x:v>
      </x:c>
      <x:c r="J15" s="361" t="n">
        <x:v>11.17</x:v>
      </x:c>
      <x:c r="K15" s="361" t="n">
        <x:v>1.17</x:v>
      </x:c>
      <x:c r="L15" s="364" t="n">
        <x:v>0.117</x:v>
      </x:c>
      <x:c r="M15" s="362" t="n">
        <x:v>99.05500000000001</x:v>
      </x:c>
      <x:c r="N15" s="365" t="inlineStr">
        <x:is>
          <x:t xml:space="preserve">Overfilled</x:t>
        </x:is>
      </x:c>
      <x:c r="O15" s="361" t="inlineStr">
        <x:is>
          <x:t xml:space="preserve">260425</x:t>
        </x:is>
      </x:c>
      <x:c r="P15" s="366" t="n">
        <x:v>46155</x:v>
      </x:c>
      <x:c r="Q15" s="367" t="inlineStr">
        <x:is>
          <x:t xml:space="preserve">Pass</x:t>
        </x:is>
      </x:c>
      <x:c r="R15" s="361" t="inlineStr">
        <x:is>
          <x:t xml:space="preserve">MS10 / MOTS-C</x:t>
        </x:is>
      </x:c>
      <x:c r="S15" s="368" t="inlineStr">
        <x:is>
          <x:t xml:space="preserve">Not Listed</x:t>
        </x:is>
      </x:c>
      <x:c r="T15" s="368" t="inlineStr">
        <x:is>
          <x:t xml:space="preserve">Not Listed</x:t>
        </x:is>
      </x:c>
      <x:c r="U15" s="361" t="inlineStr">
        <x:is>
          <x:t xml:space="preserve">Crimp/cap color not listed or visible in the COA/testing record.</x:t>
        </x:is>
      </x:c>
    </x:row>
    <x:row r="16">
      <x:c r="A16" s="361" t="inlineStr">
        <x:is>
          <x:t xml:space="preserve">COA-0015</x:t>
        </x:is>
      </x:c>
      <x:c r="B16" s="361" t="inlineStr">
        <x:is>
          <x:t xml:space="preserve">MOTS-C</x:t>
        </x:is>
      </x:c>
      <x:c r="C16" s="361" t="inlineStr">
        <x:is>
          <x:t xml:space="preserve">Metabolic / Mito</x:t>
        </x:is>
      </x:c>
      <x:c r="D16" s="361" t="inlineStr">
        <x:is>
          <x:t xml:space="preserve">Janoshik</x:t>
        </x:is>
      </x:c>
      <x:c r="E16" s="361" t="inlineStr">
        <x:is>
          <x:t xml:space="preserve">#105209</x:t>
        </x:is>
      </x:c>
      <x:c r="F16" s="361" t="inlineStr">
        <x:is>
          <x:t xml:space="preserve">EZVSKIKKLCI2</x:t>
        </x:is>
      </x:c>
      <x:c r="G16" s="376" t="inlineStr">
        <x:is>
          <x:t xml:space="preserve">https://janoshik.com/verify/EZVSKIKKLCI2</x:t>
        </x:is>
      </x:c>
      <x:c r="H16" s="361" t="inlineStr">
        <x:is>
          <x:t xml:space="preserve">Yes</x:t>
        </x:is>
      </x:c>
      <x:c r="I16" s="361" t="n">
        <x:v>40</x:v>
      </x:c>
      <x:c r="J16" s="361" t="n">
        <x:v>38.96</x:v>
      </x:c>
      <x:c r="K16" s="361" t="n">
        <x:v>-1.039999999999999</x:v>
      </x:c>
      <x:c r="L16" s="364" t="n">
        <x:v>-0.02599999999999998</x:v>
      </x:c>
      <x:c r="M16" s="362" t="n">
        <x:v>99.813</x:v>
      </x:c>
      <x:c r="N16" s="369" t="inlineStr">
        <x:is>
          <x:t xml:space="preserve">On label</x:t>
        </x:is>
      </x:c>
      <x:c r="O16" s="361" t="inlineStr">
        <x:is>
          <x:t xml:space="preserve">2026.01.26.hva16</x:t>
        </x:is>
      </x:c>
      <x:c r="P16" s="366" t="n">
        <x:v>46057</x:v>
      </x:c>
      <x:c r="Q16" s="367" t="inlineStr">
        <x:is>
          <x:t xml:space="preserve">Pass</x:t>
        </x:is>
      </x:c>
      <x:c r="R16" s="361" t="inlineStr">
        <x:is>
          <x:t xml:space="preserve">40 mg label</x:t>
        </x:is>
      </x:c>
      <x:c r="S16" s="368" t="inlineStr">
        <x:is>
          <x:t xml:space="preserve">Not Listed</x:t>
        </x:is>
      </x:c>
      <x:c r="T16" s="368" t="inlineStr">
        <x:is>
          <x:t xml:space="preserve">Not Listed</x:t>
        </x:is>
      </x:c>
      <x:c r="U16" s="361" t="inlineStr">
        <x:is>
          <x:t xml:space="preserve">Crimp/cap color not listed or visible in the COA/testing record.</x:t>
        </x:is>
      </x:c>
    </x:row>
    <x:row r="17">
      <x:c r="A17" s="361" t="inlineStr">
        <x:is>
          <x:t xml:space="preserve">COA-0016</x:t>
        </x:is>
      </x:c>
      <x:c r="B17" s="361" t="inlineStr">
        <x:is>
          <x:t xml:space="preserve">TB-500</x:t>
        </x:is>
      </x:c>
      <x:c r="C17" s="361" t="inlineStr">
        <x:is>
          <x:t xml:space="preserve">Healing / Recovery</x:t>
        </x:is>
      </x:c>
      <x:c r="D17" s="361" t="inlineStr">
        <x:is>
          <x:t xml:space="preserve">Janoshik</x:t>
        </x:is>
      </x:c>
      <x:c r="E17" s="361" t="inlineStr">
        <x:is>
          <x:t xml:space="preserve">#155187</x:t>
        </x:is>
      </x:c>
      <x:c r="F17" s="361" t="inlineStr">
        <x:is>
          <x:t xml:space="preserve">C4ZL757CFGFN</x:t>
        </x:is>
      </x:c>
      <x:c r="G17" s="376" t="inlineStr">
        <x:is>
          <x:t xml:space="preserve">https://janoshik.com/verify/C4ZL757CFGFN</x:t>
        </x:is>
      </x:c>
      <x:c r="H17" s="361" t="inlineStr">
        <x:is>
          <x:t xml:space="preserve">Yes</x:t>
        </x:is>
      </x:c>
      <x:c r="I17" s="361" t="n">
        <x:v>10</x:v>
      </x:c>
      <x:c r="J17" s="361" t="n">
        <x:v>11.38</x:v>
      </x:c>
      <x:c r="K17" s="361" t="n">
        <x:v>1.380000000000001</x:v>
      </x:c>
      <x:c r="L17" s="364" t="n">
        <x:v>0.1380000000000001</x:v>
      </x:c>
      <x:c r="M17" s="362" t="n">
        <x:v>99.08499999999999</x:v>
      </x:c>
      <x:c r="N17" s="365" t="inlineStr">
        <x:is>
          <x:t xml:space="preserve">Overfilled</x:t>
        </x:is>
      </x:c>
      <x:c r="O17" s="361" t="inlineStr">
        <x:is>
          <x:t xml:space="preserve">260425</x:t>
        </x:is>
      </x:c>
      <x:c r="P17" s="366" t="n">
        <x:v>46155</x:v>
      </x:c>
      <x:c r="Q17" s="367" t="inlineStr">
        <x:is>
          <x:t xml:space="preserve">Pass</x:t>
        </x:is>
      </x:c>
      <x:c r="R17" s="361" t="inlineStr">
        <x:is>
          <x:t xml:space="preserve">TB-500 / TB4</x:t>
        </x:is>
      </x:c>
      <x:c r="S17" s="368" t="inlineStr">
        <x:is>
          <x:t xml:space="preserve">Not Listed</x:t>
        </x:is>
      </x:c>
      <x:c r="T17" s="368" t="inlineStr">
        <x:is>
          <x:t xml:space="preserve">Not Listed</x:t>
        </x:is>
      </x:c>
      <x:c r="U17" s="361" t="inlineStr">
        <x:is>
          <x:t xml:space="preserve">Crimp/cap color not listed or visible in the COA/testing record.</x:t>
        </x:is>
      </x:c>
    </x:row>
    <x:row r="18">
      <x:c r="A18" s="361" t="inlineStr">
        <x:is>
          <x:t xml:space="preserve">COA-0017</x:t>
        </x:is>
      </x:c>
      <x:c r="B18" s="361" t="inlineStr">
        <x:is>
          <x:t xml:space="preserve">BPC-157</x:t>
        </x:is>
      </x:c>
      <x:c r="C18" s="361" t="inlineStr">
        <x:is>
          <x:t xml:space="preserve">Healing / Recovery</x:t>
        </x:is>
      </x:c>
      <x:c r="D18" s="361" t="inlineStr">
        <x:is>
          <x:t xml:space="preserve">Janoshik</x:t>
        </x:is>
      </x:c>
      <x:c r="E18" s="361" t="inlineStr">
        <x:is>
          <x:t xml:space="preserve">#105138</x:t>
        </x:is>
      </x:c>
      <x:c r="F18" s="361" t="inlineStr">
        <x:is>
          <x:t xml:space="preserve">LIE4Z88FYGXC</x:t>
        </x:is>
      </x:c>
      <x:c r="G18" s="376" t="inlineStr">
        <x:is>
          <x:t xml:space="preserve">https://janoshik.com/verify/LIE4Z88FYGXC</x:t>
        </x:is>
      </x:c>
      <x:c r="H18" s="361" t="inlineStr">
        <x:is>
          <x:t xml:space="preserve">Yes</x:t>
        </x:is>
      </x:c>
      <x:c r="I18" s="361" t="n">
        <x:v>5</x:v>
      </x:c>
      <x:c r="J18" s="361" t="n">
        <x:v>5.54</x:v>
      </x:c>
      <x:c r="K18" s="361" t="n">
        <x:v>0.54</x:v>
      </x:c>
      <x:c r="L18" s="364" t="n">
        <x:v>0.108</x:v>
      </x:c>
      <x:c r="M18" s="362" t="n"/>
      <x:c r="N18" s="365" t="inlineStr">
        <x:is>
          <x:t xml:space="preserve">Overfilled</x:t>
        </x:is>
      </x:c>
      <x:c r="O18" s="361" t="inlineStr">
        <x:is>
          <x:t xml:space="preserve">2026.01.26.hva16</x:t>
        </x:is>
      </x:c>
      <x:c r="P18" s="366" t="n">
        <x:v>46057</x:v>
      </x:c>
      <x:c r="Q18" s="367" t="inlineStr">
        <x:is>
          <x:t xml:space="preserve">Pass</x:t>
        </x:is>
      </x:c>
      <x:c r="R18" s="361" t="inlineStr">
        <x:is>
          <x:t xml:space="preserve">Blend report BPC5+TB5</x:t>
        </x:is>
      </x:c>
      <x:c r="S18" s="368" t="inlineStr">
        <x:is>
          <x:t xml:space="preserve">Not Listed</x:t>
        </x:is>
      </x:c>
      <x:c r="T18" s="368" t="inlineStr">
        <x:is>
          <x:t xml:space="preserve">Not Listed</x:t>
        </x:is>
      </x:c>
      <x:c r="U18" s="361" t="inlineStr">
        <x:is>
          <x:t xml:space="preserve">Crimp/cap color not listed or visible in the COA/testing record.</x:t>
        </x:is>
      </x:c>
    </x:row>
    <x:row r="19">
      <x:c r="A19" s="361" t="inlineStr">
        <x:is>
          <x:t xml:space="preserve">COA-0018</x:t>
        </x:is>
      </x:c>
      <x:c r="B19" s="361" t="inlineStr">
        <x:is>
          <x:t xml:space="preserve">TB-500</x:t>
        </x:is>
      </x:c>
      <x:c r="C19" s="361" t="inlineStr">
        <x:is>
          <x:t xml:space="preserve">Healing / Recovery</x:t>
        </x:is>
      </x:c>
      <x:c r="D19" s="361" t="inlineStr">
        <x:is>
          <x:t xml:space="preserve">Janoshik</x:t>
        </x:is>
      </x:c>
      <x:c r="E19" s="361" t="inlineStr">
        <x:is>
          <x:t xml:space="preserve">#105138</x:t>
        </x:is>
      </x:c>
      <x:c r="F19" s="361" t="inlineStr">
        <x:is>
          <x:t xml:space="preserve">LIE4Z88FYGXC</x:t>
        </x:is>
      </x:c>
      <x:c r="G19" s="376" t="inlineStr">
        <x:is>
          <x:t xml:space="preserve">https://janoshik.com/verify/LIE4Z88FYGXC</x:t>
        </x:is>
      </x:c>
      <x:c r="H19" s="361" t="inlineStr">
        <x:is>
          <x:t xml:space="preserve">Yes</x:t>
        </x:is>
      </x:c>
      <x:c r="I19" s="361" t="n">
        <x:v>5</x:v>
      </x:c>
      <x:c r="J19" s="361" t="n">
        <x:v>5.43</x:v>
      </x:c>
      <x:c r="K19" s="361" t="n">
        <x:v>0.4299999999999997</x:v>
      </x:c>
      <x:c r="L19" s="364" t="n">
        <x:v>0.08599999999999994</x:v>
      </x:c>
      <x:c r="M19" s="362" t="n"/>
      <x:c r="N19" s="369" t="inlineStr">
        <x:is>
          <x:t xml:space="preserve">On label</x:t>
        </x:is>
      </x:c>
      <x:c r="O19" s="361" t="inlineStr">
        <x:is>
          <x:t xml:space="preserve">2026.01.26.hva16</x:t>
        </x:is>
      </x:c>
      <x:c r="P19" s="366" t="n">
        <x:v>46057</x:v>
      </x:c>
      <x:c r="Q19" s="367" t="inlineStr">
        <x:is>
          <x:t xml:space="preserve">Pass</x:t>
        </x:is>
      </x:c>
      <x:c r="R19" s="361" t="inlineStr">
        <x:is>
          <x:t xml:space="preserve">Blend report BPC5+TB5</x:t>
        </x:is>
      </x:c>
      <x:c r="S19" s="368" t="inlineStr">
        <x:is>
          <x:t xml:space="preserve">Not Listed</x:t>
        </x:is>
      </x:c>
      <x:c r="T19" s="368" t="inlineStr">
        <x:is>
          <x:t xml:space="preserve">Not Listed</x:t>
        </x:is>
      </x:c>
      <x:c r="U19" s="361" t="inlineStr">
        <x:is>
          <x:t xml:space="preserve">Crimp/cap color not listed or visible in the COA/testing record.</x:t>
        </x:is>
      </x:c>
    </x:row>
    <x:row r="20">
      <x:c r="A20" s="361" t="inlineStr">
        <x:is>
          <x:t xml:space="preserve">COA-0019</x:t>
        </x:is>
      </x:c>
      <x:c r="B20" s="361" t="inlineStr">
        <x:is>
          <x:t xml:space="preserve">SS-31</x:t>
        </x:is>
      </x:c>
      <x:c r="C20" s="361" t="inlineStr">
        <x:is>
          <x:t xml:space="preserve">Metabolic / Mito</x:t>
        </x:is>
      </x:c>
      <x:c r="D20" s="361" t="inlineStr">
        <x:is>
          <x:t xml:space="preserve">Janoshik</x:t>
        </x:is>
      </x:c>
      <x:c r="E20" s="361" t="inlineStr">
        <x:is>
          <x:t xml:space="preserve">#155177</x:t>
        </x:is>
      </x:c>
      <x:c r="F20" s="361" t="inlineStr">
        <x:is>
          <x:t xml:space="preserve">ZBCG537ZYEN9</x:t>
        </x:is>
      </x:c>
      <x:c r="G20" s="376" t="inlineStr">
        <x:is>
          <x:t xml:space="preserve">https://janoshik.com/verify/ZBCG537ZYEN9</x:t>
        </x:is>
      </x:c>
      <x:c r="H20" s="361" t="inlineStr">
        <x:is>
          <x:t xml:space="preserve">Yes</x:t>
        </x:is>
      </x:c>
      <x:c r="I20" s="361" t="n">
        <x:v>10</x:v>
      </x:c>
      <x:c r="J20" s="361" t="n">
        <x:v>8.880000000000001</x:v>
      </x:c>
      <x:c r="K20" s="361" t="n">
        <x:v>-1.119999999999999</x:v>
      </x:c>
      <x:c r="L20" s="364" t="n">
        <x:v>-0.1119999999999999</x:v>
      </x:c>
      <x:c r="M20" s="362" t="n">
        <x:v>99.95</x:v>
      </x:c>
      <x:c r="N20" s="374" t="inlineStr">
        <x:is>
          <x:t xml:space="preserve">Underfilled</x:t>
        </x:is>
      </x:c>
      <x:c r="O20" s="361" t="inlineStr">
        <x:is>
          <x:t xml:space="preserve">260425</x:t>
        </x:is>
      </x:c>
      <x:c r="P20" s="366" t="n">
        <x:v>46155</x:v>
      </x:c>
      <x:c r="Q20" s="367" t="inlineStr">
        <x:is>
          <x:t xml:space="preserve">Pass</x:t>
        </x:is>
      </x:c>
      <x:c r="R20" s="361" t="inlineStr">
        <x:is>
          <x:t xml:space="preserve">Elamipretide; tested twice</x:t>
        </x:is>
      </x:c>
      <x:c r="S20" s="368" t="inlineStr">
        <x:is>
          <x:t xml:space="preserve">Not Listed</x:t>
        </x:is>
      </x:c>
      <x:c r="T20" s="368" t="inlineStr">
        <x:is>
          <x:t xml:space="preserve">Not Listed</x:t>
        </x:is>
      </x:c>
      <x:c r="U20" s="361" t="inlineStr">
        <x:is>
          <x:t xml:space="preserve">Crimp/cap color not listed or visible in the COA/testing record.</x:t>
        </x:is>
      </x:c>
    </x:row>
    <x:row r="21">
      <x:c r="A21" s="361" t="inlineStr">
        <x:is>
          <x:t xml:space="preserve">COA-0020</x:t>
        </x:is>
      </x:c>
      <x:c r="B21" s="361" t="inlineStr">
        <x:is>
          <x:t xml:space="preserve">KPV</x:t>
        </x:is>
      </x:c>
      <x:c r="C21" s="361" t="inlineStr">
        <x:is>
          <x:t xml:space="preserve">Other</x:t>
        </x:is>
      </x:c>
      <x:c r="D21" s="361" t="inlineStr">
        <x:is>
          <x:t xml:space="preserve">Janoshik</x:t>
        </x:is>
      </x:c>
      <x:c r="E21" s="361" t="inlineStr">
        <x:is>
          <x:t xml:space="preserve">#105219</x:t>
        </x:is>
      </x:c>
      <x:c r="F21" s="361" t="inlineStr">
        <x:is>
          <x:t xml:space="preserve">ZR7I3B74I9KC</x:t>
        </x:is>
      </x:c>
      <x:c r="G21" s="376" t="inlineStr">
        <x:is>
          <x:t xml:space="preserve">https://janoshik.com/verify/ZR7I3B74I9KC</x:t>
        </x:is>
      </x:c>
      <x:c r="H21" s="361" t="inlineStr">
        <x:is>
          <x:t xml:space="preserve">Yes</x:t>
        </x:is>
      </x:c>
      <x:c r="I21" s="361" t="n">
        <x:v>10</x:v>
      </x:c>
      <x:c r="J21" s="361" t="n">
        <x:v>12.19</x:v>
      </x:c>
      <x:c r="K21" s="361" t="n">
        <x:v>2.19</x:v>
      </x:c>
      <x:c r="L21" s="364" t="n">
        <x:v>0.2189999999999999</x:v>
      </x:c>
      <x:c r="M21" s="362" t="n">
        <x:v>99.589</x:v>
      </x:c>
      <x:c r="N21" s="365" t="inlineStr">
        <x:is>
          <x:t xml:space="preserve">Overfilled</x:t>
        </x:is>
      </x:c>
      <x:c r="O21" s="361" t="inlineStr">
        <x:is>
          <x:t xml:space="preserve">2026.01.26.hva16</x:t>
        </x:is>
      </x:c>
      <x:c r="P21" s="366" t="n">
        <x:v>46057</x:v>
      </x:c>
      <x:c r="Q21" s="367" t="inlineStr">
        <x:is>
          <x:t xml:space="preserve">Pass</x:t>
        </x:is>
      </x:c>
      <x:c r="R21" s="361" t="inlineStr">
        <x:is>
          <x:t xml:space="preserve">Overfilled</x:t>
        </x:is>
      </x:c>
      <x:c r="S21" s="368" t="inlineStr">
        <x:is>
          <x:t xml:space="preserve">Not Listed</x:t>
        </x:is>
      </x:c>
      <x:c r="T21" s="368" t="inlineStr">
        <x:is>
          <x:t xml:space="preserve">Not Listed</x:t>
        </x:is>
      </x:c>
      <x:c r="U21" s="361" t="inlineStr">
        <x:is>
          <x:t xml:space="preserve">Crimp/cap color not listed or visible in the COA/testing record.</x:t>
        </x:is>
      </x:c>
    </x:row>
    <x:row r="22">
      <x:c r="A22" s="361" t="inlineStr">
        <x:is>
          <x:t xml:space="preserve">COA-0021</x:t>
        </x:is>
      </x:c>
      <x:c r="B22" s="361" t="inlineStr">
        <x:is>
          <x:t xml:space="preserve">CJC-1295 No DAC</x:t>
        </x:is>
      </x:c>
      <x:c r="C22" s="361" t="inlineStr">
        <x:is>
          <x:t xml:space="preserve">Growth Hormone Support</x:t>
        </x:is>
      </x:c>
      <x:c r="D22" s="361" t="inlineStr">
        <x:is>
          <x:t xml:space="preserve">Janoshik</x:t>
        </x:is>
      </x:c>
      <x:c r="E22" s="361" t="inlineStr">
        <x:is>
          <x:t xml:space="preserve">#155197</x:t>
        </x:is>
      </x:c>
      <x:c r="F22" s="361" t="inlineStr">
        <x:is>
          <x:t xml:space="preserve">TK4BPAPZF2HC</x:t>
        </x:is>
      </x:c>
      <x:c r="G22" s="376" t="inlineStr">
        <x:is>
          <x:t xml:space="preserve">https://janoshik.com/verify/TK4BPAPZF2HC</x:t>
        </x:is>
      </x:c>
      <x:c r="H22" s="361" t="inlineStr">
        <x:is>
          <x:t xml:space="preserve">Yes</x:t>
        </x:is>
      </x:c>
      <x:c r="I22" s="361" t="n">
        <x:v>10</x:v>
      </x:c>
      <x:c r="J22" s="361" t="n">
        <x:v>9.66</x:v>
      </x:c>
      <x:c r="K22" s="361" t="n">
        <x:v>-0.3399999999999999</x:v>
      </x:c>
      <x:c r="L22" s="364" t="n">
        <x:v>-0.03399999999999999</x:v>
      </x:c>
      <x:c r="M22" s="362" t="n">
        <x:v>99.89700000000001</x:v>
      </x:c>
      <x:c r="N22" s="369" t="inlineStr">
        <x:is>
          <x:t xml:space="preserve">On label</x:t>
        </x:is>
      </x:c>
      <x:c r="O22" s="361" t="inlineStr">
        <x:is>
          <x:t xml:space="preserve">260425</x:t>
        </x:is>
      </x:c>
      <x:c r="P22" s="366" t="n">
        <x:v>46156</x:v>
      </x:c>
      <x:c r="Q22" s="367" t="inlineStr">
        <x:is>
          <x:t xml:space="preserve">Pass</x:t>
        </x:is>
      </x:c>
      <x:c r="R22" s="361" t="inlineStr">
        <x:is>
          <x:t xml:space="preserve">Mod GRF 1-29</x:t>
        </x:is>
      </x:c>
      <x:c r="S22" s="368" t="inlineStr">
        <x:is>
          <x:t xml:space="preserve">Not Listed</x:t>
        </x:is>
      </x:c>
      <x:c r="T22" s="368" t="inlineStr">
        <x:is>
          <x:t xml:space="preserve">Not Listed</x:t>
        </x:is>
      </x:c>
      <x:c r="U22" s="361" t="inlineStr">
        <x:is>
          <x:t xml:space="preserve">Crimp/cap color not listed or visible in the COA/testing record.</x:t>
        </x:is>
      </x:c>
    </x:row>
    <x:row r="23">
      <x:c r="A23" s="361" t="inlineStr">
        <x:is>
          <x:t xml:space="preserve">COA-0022</x:t>
        </x:is>
      </x:c>
      <x:c r="B23" s="361" t="inlineStr">
        <x:is>
          <x:t xml:space="preserve">Retatrutide</x:t>
        </x:is>
      </x:c>
      <x:c r="C23" s="361" t="inlineStr">
        <x:is>
          <x:t xml:space="preserve">GLP-1 / Weight</x:t>
        </x:is>
      </x:c>
      <x:c r="D23" s="361" t="inlineStr">
        <x:is>
          <x:t xml:space="preserve">Janoshik</x:t>
        </x:is>
      </x:c>
      <x:c r="E23" s="361" t="inlineStr">
        <x:is>
          <x:t xml:space="preserve">#155167</x:t>
        </x:is>
      </x:c>
      <x:c r="F23" s="361" t="inlineStr">
        <x:is>
          <x:t xml:space="preserve">GHCSPKL4C6CX</x:t>
        </x:is>
      </x:c>
      <x:c r="G23" s="376" t="inlineStr">
        <x:is>
          <x:t xml:space="preserve">https://janoshik.com/verify/GHCSPKL4C6CX</x:t>
        </x:is>
      </x:c>
      <x:c r="H23" s="361" t="inlineStr">
        <x:is>
          <x:t xml:space="preserve">Yes</x:t>
        </x:is>
      </x:c>
      <x:c r="I23" s="361" t="n">
        <x:v>30</x:v>
      </x:c>
      <x:c r="J23" s="361" t="n">
        <x:v>34.77</x:v>
      </x:c>
      <x:c r="K23" s="361" t="n">
        <x:v>4.770000000000003</x:v>
      </x:c>
      <x:c r="L23" s="364" t="n">
        <x:v>0.1590000000000001</x:v>
      </x:c>
      <x:c r="M23" s="362" t="n">
        <x:v>99.825</x:v>
      </x:c>
      <x:c r="N23" s="365" t="inlineStr">
        <x:is>
          <x:t xml:space="preserve">Overfilled</x:t>
        </x:is>
      </x:c>
      <x:c r="O23" s="361" t="inlineStr">
        <x:is>
          <x:t xml:space="preserve">260425</x:t>
        </x:is>
      </x:c>
      <x:c r="P23" s="366" t="n">
        <x:v>46156</x:v>
      </x:c>
      <x:c r="Q23" s="367" t="inlineStr">
        <x:is>
          <x:t xml:space="preserve">Pass</x:t>
        </x:is>
      </x:c>
      <x:c r="R23" s="361" t="inlineStr">
        <x:is>
          <x:t xml:space="preserve">RT30 Retatrutide 30mg; common GLP-1 blind test; overfilled.</x:t>
        </x:is>
      </x:c>
      <x:c r="S23" s="368" t="inlineStr">
        <x:is>
          <x:t xml:space="preserve">Not Listed</x:t>
        </x:is>
      </x:c>
      <x:c r="T23" s="368" t="inlineStr">
        <x:is>
          <x:t xml:space="preserve">Not Listed</x:t>
        </x:is>
      </x:c>
      <x:c r="U23" s="361" t="inlineStr">
        <x:is>
          <x:t xml:space="preserve">Crimp/cap color not listed or visible in the COA/testing record.</x:t>
        </x:is>
      </x:c>
    </x:row>
    <x:row r="24">
      <x:c r="A24" s="361" t="inlineStr">
        <x:is>
          <x:t xml:space="preserve">COA-0023</x:t>
        </x:is>
      </x:c>
      <x:c r="B24" s="361" t="inlineStr">
        <x:is>
          <x:t xml:space="preserve">Tirzepatide</x:t>
        </x:is>
      </x:c>
      <x:c r="C24" s="361" t="inlineStr">
        <x:is>
          <x:t xml:space="preserve">GLP-1 / Weight</x:t>
        </x:is>
      </x:c>
      <x:c r="D24" s="361" t="inlineStr">
        <x:is>
          <x:t xml:space="preserve">Janoshik</x:t>
        </x:is>
      </x:c>
      <x:c r="E24" s="361" t="inlineStr">
        <x:is>
          <x:t xml:space="preserve">#155127</x:t>
        </x:is>
      </x:c>
      <x:c r="F24" s="361" t="inlineStr">
        <x:is>
          <x:t xml:space="preserve">PD278BSFA1D9</x:t>
        </x:is>
      </x:c>
      <x:c r="G24" s="376" t="inlineStr">
        <x:is>
          <x:t xml:space="preserve">https://janoshik.com/verify/PD278BSFA1D9</x:t>
        </x:is>
      </x:c>
      <x:c r="H24" s="361" t="inlineStr">
        <x:is>
          <x:t xml:space="preserve">Yes</x:t>
        </x:is>
      </x:c>
      <x:c r="I24" s="361" t="n">
        <x:v>15</x:v>
      </x:c>
      <x:c r="J24" s="361" t="n">
        <x:v>16.18</x:v>
      </x:c>
      <x:c r="K24" s="361" t="n">
        <x:v>1.18</x:v>
      </x:c>
      <x:c r="L24" s="364" t="n">
        <x:v>0.07866666666666665</x:v>
      </x:c>
      <x:c r="M24" s="362" t="n">
        <x:v>99.73099999999999</x:v>
      </x:c>
      <x:c r="N24" s="365" t="inlineStr">
        <x:is>
          <x:t xml:space="preserve">Overfilled</x:t>
        </x:is>
      </x:c>
      <x:c r="O24" s="361" t="inlineStr">
        <x:is>
          <x:t xml:space="preserve">260425</x:t>
        </x:is>
      </x:c>
      <x:c r="P24" s="366" t="n">
        <x:v>46156</x:v>
      </x:c>
      <x:c r="Q24" s="367" t="inlineStr">
        <x:is>
          <x:t xml:space="preserve">Pass</x:t>
        </x:is>
      </x:c>
      <x:c r="R24" s="361" t="inlineStr">
        <x:is>
          <x:t xml:space="preserve">T15 Tirzepatide 15mg; common GLP-1 blind test; overfilled.</x:t>
        </x:is>
      </x:c>
      <x:c r="S24" s="368" t="inlineStr">
        <x:is>
          <x:t xml:space="preserve">Not Listed</x:t>
        </x:is>
      </x:c>
      <x:c r="T24" s="368" t="inlineStr">
        <x:is>
          <x:t xml:space="preserve">Not Listed</x:t>
        </x:is>
      </x:c>
      <x:c r="U24" s="361" t="inlineStr">
        <x:is>
          <x:t xml:space="preserve">Crimp/cap color not listed or visible in the COA/testing record.</x:t>
        </x:is>
      </x:c>
    </x:row>
    <x:row r="25">
      <x:c r="A25" s="361" t="inlineStr">
        <x:is>
          <x:t xml:space="preserve">COA-0024</x:t>
        </x:is>
      </x:c>
      <x:c r="B25" s="361" t="inlineStr">
        <x:is>
          <x:t xml:space="preserve">Retatrutide</x:t>
        </x:is>
      </x:c>
      <x:c r="C25" s="361" t="inlineStr">
        <x:is>
          <x:t xml:space="preserve">GLP-1 / Weight</x:t>
        </x:is>
      </x:c>
      <x:c r="D25" s="361" t="inlineStr">
        <x:is>
          <x:t xml:space="preserve">Freedom Diagnostics</x:t>
        </x:is>
      </x:c>
      <x:c r="E25" s="361" t="inlineStr">
        <x:is>
          <x:t xml:space="preserve">Redacted</x:t>
        </x:is>
      </x:c>
      <x:c r="F25" s="361" t="inlineStr">
        <x:is>
          <x:t xml:space="preserve">N/A</x:t>
        </x:is>
      </x:c>
      <x:c r="G25" s="361" t="inlineStr">
        <x:is>
          <x:t xml:space="preserve"/>
        </x:is>
      </x:c>
      <x:c r="H25" s="361" t="inlineStr">
        <x:is>
          <x:t xml:space="preserve">Needs file link</x:t>
        </x:is>
      </x:c>
      <x:c r="I25" s="361" t="n">
        <x:v>20</x:v>
      </x:c>
      <x:c r="J25" s="361" t="n">
        <x:v>22.47</x:v>
      </x:c>
      <x:c r="K25" s="361" t="n">
        <x:v>2.469999999999999</x:v>
      </x:c>
      <x:c r="L25" s="364" t="n">
        <x:v>0.1234999999999999</x:v>
      </x:c>
      <x:c r="M25" s="362" t="n">
        <x:v>99.86</x:v>
      </x:c>
      <x:c r="N25" s="365" t="inlineStr">
        <x:is>
          <x:t xml:space="preserve">Overfilled</x:t>
        </x:is>
      </x:c>
      <x:c r="O25" s="361" t="inlineStr">
        <x:is>
          <x:t xml:space="preserve">Freedom-RT20-20260614-ClearGreen</x:t>
        </x:is>
      </x:c>
      <x:c r="P25" s="366" t="inlineStr">
        <x:is>
          <x:t xml:space="preserve">2026-06-14</x:t>
        </x:is>
      </x:c>
      <x:c r="Q25" s="367" t="inlineStr">
        <x:is>
          <x:t xml:space="preserve">Pass</x:t>
        </x:is>
      </x:c>
      <x:c r="R25" s="361" t="inlineStr">
        <x:is>
          <x:t xml:space="preserve">Retatrutide 20mg, separate batch from existing Retatrutide records; received 06/11/2026, reported 06/14/2026.</x:t>
        </x:is>
      </x:c>
      <x:c r="S25" s="368" t="inlineStr">
        <x:is>
          <x:t xml:space="preserve">Not Listed</x:t>
        </x:is>
      </x:c>
      <x:c r="T25" s="375" t="inlineStr">
        <x:is>
          <x:t xml:space="preserve">Clear Green</x:t>
        </x:is>
      </x:c>
      <x:c r="U25" s="361" t="inlineStr">
        <x:is>
          <x:t xml:space="preserve">Clear green cap per COA image</x:t>
        </x:is>
      </x:c>
    </x:row>
    <x:row r="26">
      <x:c r="A26" t="str">
        <x:v>COA-0028</x:v>
      </x:c>
      <x:c r="B26" t="str">
        <x:v>BPC/TB Blend</x:v>
      </x:c>
      <x:c r="C26" t="str">
        <x:v>Healing / Recovery</x:v>
      </x:c>
      <x:c r="D26" t="str">
        <x:v>Testides</x:v>
      </x:c>
      <x:c r="E26" t="str">
        <x:v>PT-BPCTB-10-062226-01</x:v>
      </x:c>
      <x:c r="F26" t="str">
        <x:v>da424443</x:v>
      </x:c>
      <x:c r="G26" t="str">
        <x:v>assets/coa/PT-BPCTB-10-062226-01.pdf</x:v>
      </x:c>
      <x:c r="H26" t="str">
        <x:v>Yes</x:v>
      </x:c>
      <x:c r="I26" t="n">
        <x:v>10</x:v>
      </x:c>
      <x:c r="J26" t="n">
        <x:v>11.85</x:v>
      </x:c>
      <x:c r="K26" t="n">
        <x:v>1.85</x:v>
      </x:c>
      <x:c r="L26" t="n">
        <x:v>0.185</x:v>
      </x:c>
      <x:c r="M26" t="n">
        <x:v>99.81</x:v>
      </x:c>
      <x:c r="N26" t="str">
        <x:v>Overfilled</x:v>
      </x:c>
      <x:c r="O26" t="str">
        <x:v>BATCH-01</x:v>
      </x:c>
      <x:c r="P26" t="str">
        <x:v>2026-06-15</x:v>
      </x:c>
      <x:c r="Q26" t="str">
        <x:v>Pass</x:v>
      </x:c>
      <x:c r="R26" t="str">
        <x:v>BPC-157 5.76mg + TB-500 6.09mg; Date received/reported Jun 24, 2026; generated Jul 4, 2026.</x:v>
      </x:c>
      <x:c r="S26" t="str">
        <x:v>Not Listed</x:v>
      </x:c>
      <x:c r="T26" t="str">
        <x:v>Not Listed</x:v>
      </x:c>
      <x:c r="U26" t="str">
        <x:v>Crimp/cap color not listed in PDF.</x:v>
      </x:c>
    </x:row>
    <x:row r="27">
      <x:c r="A27" t="str">
        <x:v>COA-0029</x:v>
      </x:c>
      <x:c r="B27" t="str">
        <x:v>MOTS-C</x:v>
      </x:c>
      <x:c r="C27" t="str">
        <x:v>Metabolic / Mito</x:v>
      </x:c>
      <x:c r="D27" t="str">
        <x:v>Testides</x:v>
      </x:c>
      <x:c r="E27" t="str">
        <x:v>PT-MOTS-40-062226-01</x:v>
      </x:c>
      <x:c r="F27" t="str">
        <x:v>96ea8238</x:v>
      </x:c>
      <x:c r="G27" t="str">
        <x:v>assets/coa/PT-MOTS-40-062226-01.pdf</x:v>
      </x:c>
      <x:c r="H27" t="str">
        <x:v>Yes</x:v>
      </x:c>
      <x:c r="I27" t="n">
        <x:v>40</x:v>
      </x:c>
      <x:c r="J27" t="n">
        <x:v>45.03</x:v>
      </x:c>
      <x:c r="K27" t="n">
        <x:v>5.03</x:v>
      </x:c>
      <x:c r="L27" t="n">
        <x:v>0.12575</x:v>
      </x:c>
      <x:c r="M27" t="n">
        <x:v>99.39</x:v>
      </x:c>
      <x:c r="N27" t="str">
        <x:v>Overfilled</x:v>
      </x:c>
      <x:c r="O27" t="str">
        <x:v>BATCH-01</x:v>
      </x:c>
      <x:c r="P27" t="str">
        <x:v>2026-06-15</x:v>
      </x:c>
      <x:c r="Q27" t="str">
        <x:v>Pass</x:v>
      </x:c>
      <x:c r="R27" t="str">
        <x:v>MOTS-c 40mg; Date received/reported Jun 24, 2026; generated Jul 4, 2026.</x:v>
      </x:c>
      <x:c r="S27" t="str">
        <x:v>Not Listed</x:v>
      </x:c>
      <x:c r="T27" t="str">
        <x:v>Not Listed</x:v>
      </x:c>
      <x:c r="U27" t="str">
        <x:v>Crimp/cap color not listed in PDF.</x:v>
      </x:c>
    </x:row>
    <x:row r="28">
      <x:c r="A28" t="str">
        <x:v>COA-0030</x:v>
      </x:c>
      <x:c r="B28" t="str">
        <x:v>Retatrutide</x:v>
      </x:c>
      <x:c r="C28" t="str">
        <x:v>GLP-1 / Weight</x:v>
      </x:c>
      <x:c r="D28" t="str">
        <x:v>Testides</x:v>
      </x:c>
      <x:c r="E28" t="str">
        <x:v>PT-RETA-20-062226-01</x:v>
      </x:c>
      <x:c r="F28" t="str">
        <x:v>5c1aa528</x:v>
      </x:c>
      <x:c r="G28" t="str">
        <x:v>assets/coa/PT-RETA-20-062226-01.pdf</x:v>
      </x:c>
      <x:c r="H28" t="str">
        <x:v>Yes</x:v>
      </x:c>
      <x:c r="I28" t="n">
        <x:v>20</x:v>
      </x:c>
      <x:c r="J28" t="n">
        <x:v>21.4</x:v>
      </x:c>
      <x:c r="K28" t="n">
        <x:v>1.4</x:v>
      </x:c>
      <x:c r="L28" t="n">
        <x:v>0.06999999999999999</x:v>
      </x:c>
      <x:c r="M28" t="n">
        <x:v>99.49</x:v>
      </x:c>
      <x:c r="N28" t="str">
        <x:v>Overfilled</x:v>
      </x:c>
      <x:c r="O28" t="str">
        <x:v>BATCH-01</x:v>
      </x:c>
      <x:c r="P28" t="str">
        <x:v>2026-06-15</x:v>
      </x:c>
      <x:c r="Q28" t="str">
        <x:v>Pass</x:v>
      </x:c>
      <x:c r="R28" t="str">
        <x:v>Retatrutide 20mg; Date received/reported Jun 24, 2026; generated Jul 4, 2026.</x:v>
      </x:c>
      <x:c r="S28" t="str">
        <x:v>Not Listed</x:v>
      </x:c>
      <x:c r="T28" t="str">
        <x:v>Not Listed</x:v>
      </x:c>
      <x:c r="U28" t="str">
        <x:v>Crimp/cap color not listed in PDF.</x:v>
      </x:c>
    </x:row>
    <x:row r="29">
      <x:c r="A29" t="str">
        <x:v>COA-0031</x:v>
      </x:c>
      <x:c r="B29" t="str">
        <x:v>Retatrutide</x:v>
      </x:c>
      <x:c r="C29" t="str">
        <x:v>GLP-1 / Weight</x:v>
      </x:c>
      <x:c r="D29" t="str">
        <x:v>Testides</x:v>
      </x:c>
      <x:c r="E29" t="str">
        <x:v>PT-RETA-30-062226-01</x:v>
      </x:c>
      <x:c r="F29" t="str">
        <x:v>a8c10db6</x:v>
      </x:c>
      <x:c r="G29" t="str">
        <x:v>assets/coa/PT-RETA-30-062226-01.pdf</x:v>
      </x:c>
      <x:c r="H29" t="str">
        <x:v>Yes</x:v>
      </x:c>
      <x:c r="I29" t="n">
        <x:v>30</x:v>
      </x:c>
      <x:c r="J29" t="n">
        <x:v>33.77</x:v>
      </x:c>
      <x:c r="K29" t="n">
        <x:v>3.77</x:v>
      </x:c>
      <x:c r="L29" t="n">
        <x:v>0.12566666666666668</x:v>
      </x:c>
      <x:c r="M29" t="n">
        <x:v>99.58</x:v>
      </x:c>
      <x:c r="N29" t="str">
        <x:v>Overfilled</x:v>
      </x:c>
      <x:c r="O29" t="str">
        <x:v>BATCH-01</x:v>
      </x:c>
      <x:c r="P29" t="str">
        <x:v>2026-06-15</x:v>
      </x:c>
      <x:c r="Q29" t="str">
        <x:v>Pass</x:v>
      </x:c>
      <x:c r="R29" t="str">
        <x:v>Retatrutide 30mg; Date received/reported Jun 24, 2026; generated Jul 4, 2026.</x:v>
      </x:c>
      <x:c r="S29" t="str">
        <x:v>Not Listed</x:v>
      </x:c>
      <x:c r="T29" t="str">
        <x:v>Not Listed</x:v>
      </x:c>
      <x:c r="U29" t="str">
        <x:v>Crimp/cap color not listed in PDF.</x:v>
      </x:c>
    </x:row>
    <x:row r="30">
      <x:c r="A30" t="str">
        <x:v>COA-0032</x:v>
      </x:c>
      <x:c r="B30" t="str">
        <x:v>Semaglutide</x:v>
      </x:c>
      <x:c r="C30" t="str">
        <x:v>GLP-1 / Weight</x:v>
      </x:c>
      <x:c r="D30" t="str">
        <x:v>Kovera Labs</x:v>
      </x:c>
      <x:c r="E30" t="str">
        <x:v>Redacted</x:v>
      </x:c>
      <x:c r="F30" t="str">
        <x:v>Redacted</x:v>
      </x:c>
      <x:c r="G30" t="str">
        <x:v>assets/coa/photo_2026-07-04_22-14-31.jpg</x:v>
      </x:c>
      <x:c r="H30" t="str">
        <x:v>Yes</x:v>
      </x:c>
      <x:c r="I30" t="n">
        <x:v>15</x:v>
      </x:c>
      <x:c r="J30" t="n">
        <x:v>15.53</x:v>
      </x:c>
      <x:c r="K30" t="n">
        <x:v>0.53</x:v>
      </x:c>
      <x:c r="L30" t="n">
        <x:v>0.035333333333333335</x:v>
      </x:c>
      <x:c r="M30" t="n">
        <x:v>99.642</x:v>
      </x:c>
      <x:c r="N30" t="str">
        <x:v>On label</x:v>
      </x:c>
      <x:c r="O30" t="str">
        <x:v>Redacted</x:v>
      </x:c>
      <x:c r="P30" t="str">
        <x:v>2026-07-03</x:v>
      </x:c>
      <x:c r="Q30" t="str">
        <x:v>Pass</x:v>
      </x:c>
      <x:c r="R30" t="str">
        <x:v>Kovera image COA; black cap / silver crimp; heavy metals negative; endotoxin pass. CAS 910463-68-2 visible; report/access code redacted.</x:v>
      </x:c>
      <x:c r="S30" t="str">
        <x:v>Silver</x:v>
      </x:c>
      <x:c r="T30" t="str">
        <x:v>Black</x:v>
      </x:c>
      <x:c r="U30" t="str">
        <x:v>Black cap / silver crimp per COA image.</x:v>
      </x:c>
    </x:row>
    <x:row r="31">
      <x:c r="A31" t="str">
        <x:v>COA-0033</x:v>
      </x:c>
      <x:c r="B31" t="str">
        <x:v>Tirzepatide</x:v>
      </x:c>
      <x:c r="C31" t="str">
        <x:v>GLP-1 / Weight</x:v>
      </x:c>
      <x:c r="D31" t="str">
        <x:v>Kovera Labs</x:v>
      </x:c>
      <x:c r="E31" t="str">
        <x:v>Redacted</x:v>
      </x:c>
      <x:c r="F31" t="str">
        <x:v>Redacted</x:v>
      </x:c>
      <x:c r="G31" t="str">
        <x:v>assets/coa/photo_2026-07-04_22-34-37.jpg</x:v>
      </x:c>
      <x:c r="H31" t="str">
        <x:v>Yes</x:v>
      </x:c>
      <x:c r="I31" t="n">
        <x:v>30</x:v>
      </x:c>
      <x:c r="J31" t="n">
        <x:v>33.24</x:v>
      </x:c>
      <x:c r="K31" t="n">
        <x:v>3.24</x:v>
      </x:c>
      <x:c r="L31" t="n">
        <x:v>0.10800000000000001</x:v>
      </x:c>
      <x:c r="M31" t="n">
        <x:v>99.6</x:v>
      </x:c>
      <x:c r="N31" t="str">
        <x:v>Overfilled</x:v>
      </x:c>
      <x:c r="O31" t="str">
        <x:v>Redacted</x:v>
      </x:c>
      <x:c r="P31" t="str">
        <x:v>2026-07-03</x:v>
      </x:c>
      <x:c r="Q31" t="str">
        <x:v>Pass</x:v>
      </x:c>
      <x:c r="R31" t="str">
        <x:v>Kovera image COA; blue cap / silver crimp; heavy metals negative; endotoxin pass. CAS 2023788-19-2 visible; report/access code redacted.</x:v>
      </x:c>
      <x:c r="S31" t="str">
        <x:v>Silver</x:v>
      </x:c>
      <x:c r="T31" t="str">
        <x:v>Blue</x:v>
      </x:c>
      <x:c r="U31" t="str">
        <x:v>Blue cap / silver crimp per COA image.</x:v>
      </x:c>
    </x:row>
    <x:row r="32">
      <x:c r="A32" t="str">
        <x:v>COA-0034</x:v>
      </x:c>
      <x:c r="B32" t="str">
        <x:v>Tirzepatide</x:v>
      </x:c>
      <x:c r="C32" t="str">
        <x:v>GLP-1 / Weight</x:v>
      </x:c>
      <x:c r="D32" t="str">
        <x:v>Kovera Labs</x:v>
      </x:c>
      <x:c r="E32" t="str">
        <x:v>Redacted</x:v>
      </x:c>
      <x:c r="F32" t="str">
        <x:v>Redacted</x:v>
      </x:c>
      <x:c r="G32" t="str">
        <x:v>assets/coa/photo_2026-07-04_22-35-21.jpg</x:v>
      </x:c>
      <x:c r="H32" t="str">
        <x:v>Yes</x:v>
      </x:c>
      <x:c r="I32" t="n">
        <x:v>15</x:v>
      </x:c>
      <x:c r="J32" t="n">
        <x:v>15.59</x:v>
      </x:c>
      <x:c r="K32" t="n">
        <x:v>0.59</x:v>
      </x:c>
      <x:c r="L32" t="n">
        <x:v>0.03933333333333333</x:v>
      </x:c>
      <x:c r="M32" t="n">
        <x:v>99.747</x:v>
      </x:c>
      <x:c r="N32" t="str">
        <x:v>On label</x:v>
      </x:c>
      <x:c r="O32" t="str">
        <x:v>Redacted</x:v>
      </x:c>
      <x:c r="P32" t="str">
        <x:v>2026-07-03</x:v>
      </x:c>
      <x:c r="Q32" t="str">
        <x:v>Pass</x:v>
      </x:c>
      <x:c r="R32" t="str">
        <x:v>Kovera image COA; purple cap / silver crimp; heavy metals negative; endotoxin pass. CAS 2023788-19-2 visible; report/access code redacted.</x:v>
      </x:c>
      <x:c r="S32" t="str">
        <x:v>Silver</x:v>
      </x:c>
      <x:c r="T32" t="str">
        <x:v>Purple</x:v>
      </x:c>
      <x:c r="U32" t="str">
        <x:v>Purple cap / silver crimp per COA image.</x:v>
      </x:c>
    </x:row>
  </x:sheetData>
  <x:dataValidations count="4">
    <x:dataValidation type="list" allowBlank="0" showDropDown="0" showInputMessage="0" showErrorMessage="0" sqref="I2:J22">
      <x:formula1>Lists!$G$2:$G$18</x:formula1>
    </x:dataValidation>
    <x:dataValidation type="list" allowBlank="1" showDropDown="0" showInputMessage="0" showErrorMessage="0" sqref="I2:I200">
      <x:formula1>=Lists!$G$2:$G$17</x:formula1>
    </x:dataValidation>
    <x:dataValidation type="list" allowBlank="1" showDropDown="0" showInputMessage="0" showErrorMessage="0" sqref="J2:J200">
      <x:formula1>=Lists!$G$2:$G$17</x:formula1>
    </x:dataValidation>
    <x:dataValidation type="list" allowBlank="1" showDropDown="0" showInputMessage="0" showErrorMessage="0" sqref="K2:K200">
      <x:formula1>=Lists!$H$2:$H$8</x:formula1>
    </x:dataValidation>
  </x:dataValidations>
  <x:pageMargins left="0.7" right="0.7" top="0.75" bottom="0.75" header="0.3" footer="0.3"/>
  <x:tableParts count="1">
    <x:tablePart xmlns:r="http://schemas.openxmlformats.org/officeDocument/2006/relationships" r:id="Rb2829db6f50b4cca"/>
  </x:tableParts>
</x:worksheet>
</file>

<file path=xl/worksheets/sheet8.xml><?xml version="1.0" encoding="utf-8"?>
<x:worksheet xmlns:x="http://schemas.openxmlformats.org/spreadsheetml/2006/main">
  <x:sheetFormatPr baseColWidth="8" defaultRowHeight="13.800000190734863"/>
  <x:cols>
    <x:col min="1" max="1" width="17" style="198" customWidth="1"/>
    <x:col min="2" max="2" width="21" style="198" customWidth="1"/>
    <x:col min="3" max="3" width="40" style="198" customWidth="1"/>
    <x:col min="4" max="4" width="13" style="198" customWidth="1"/>
    <x:col min="5" max="5" width="14" style="198" customWidth="1"/>
    <x:col min="6" max="6" width="24" style="198" customWidth="1"/>
    <x:col min="7" max="7" width="20.459999084472656" style="198" customWidth="1"/>
    <x:col min="8" max="8" width="13" style="198" customWidth="1"/>
    <x:col min="9" max="9" width="13" style="198" customWidth="1"/>
    <x:col min="10" max="10" width="13" style="198" customWidth="1"/>
    <x:col min="11" max="11" width="13" style="198" customWidth="1"/>
    <x:col min="12" max="12" width="13" style="198" customWidth="1"/>
    <x:col min="13" max="13" width="13" style="198" customWidth="1"/>
    <x:col min="14" max="14" width="13" style="198" customWidth="1"/>
    <x:col min="15" max="15" width="13" style="198" customWidth="1"/>
    <x:col min="16" max="16" width="13" style="198" customWidth="1"/>
    <x:col min="17" max="17" width="13" style="198" customWidth="1"/>
    <x:col min="18" max="18" width="13" style="198" customWidth="1"/>
    <x:col min="19" max="19" width="13" style="198" customWidth="1"/>
    <x:col min="20" max="20" width="13" style="198" customWidth="1"/>
    <x:col min="21" max="21" width="13" style="198" customWidth="1"/>
    <x:col min="22" max="22" width="13" style="198" customWidth="1"/>
    <x:col min="23" max="23" width="13" style="198" customWidth="1"/>
    <x:col min="24" max="24" width="13" style="198" customWidth="1"/>
    <x:col min="25" max="25" width="13" style="198" customWidth="1"/>
    <x:col min="26" max="26" width="13" style="198" customWidth="1"/>
  </x:cols>
  <x:sheetData>
    <x:row r="1">
      <x:c r="A1" s="363" t="inlineStr">
        <x:is>
          <x:t xml:space="preserve">Compounds</x:t>
        </x:is>
      </x:c>
      <x:c r="B1" s="363" t="inlineStr">
        <x:is>
          <x:t xml:space="preserve">Labs</x:t>
        </x:is>
      </x:c>
      <x:c r="C1" s="363" t="inlineStr">
        <x:is>
          <x:t xml:space="preserve">Status</x:t>
        </x:is>
      </x:c>
      <x:c r="D1" s="363" t="inlineStr">
        <x:is>
          <x:t xml:space="preserve">Cap Colors</x:t>
        </x:is>
      </x:c>
      <x:c r="E1" s="363" t="inlineStr">
        <x:is>
          <x:t xml:space="preserve">Crimp Colors</x:t>
        </x:is>
      </x:c>
      <x:c r="F1" s="363" t="inlineStr">
        <x:is>
          <x:t xml:space="preserve">Categories</x:t>
        </x:is>
      </x:c>
    </x:row>
    <x:row r="2">
      <x:c r="A2" s="361" t="inlineStr">
        <x:is>
          <x:t xml:space="preserve">AOD-9604</x:t>
        </x:is>
      </x:c>
      <x:c r="B2" s="361" t="inlineStr">
        <x:is>
          <x:t xml:space="preserve">Aminos Analytics</x:t>
        </x:is>
      </x:c>
      <x:c r="C2" s="361" t="str">
        <x:f>IF(G7="","Review",IF(G7&gt;0.03,"Overfilled",IF(G7&lt;-0.03,"Underfilled","On label")))</x:f>
        <x:v>Review</x:v>
      </x:c>
      <x:c r="D2" s="361" t="inlineStr">
        <x:is>
          <x:t xml:space="preserve">Clear Green</x:t>
        </x:is>
      </x:c>
      <x:c r="E2" s="361" t="inlineStr">
        <x:is>
          <x:t xml:space="preserve">Not Listed</x:t>
        </x:is>
      </x:c>
      <x:c r="F2" s="361" t="inlineStr">
        <x:is>
          <x:t xml:space="preserve">GLP-1 / Weight</x:t>
        </x:is>
      </x:c>
    </x:row>
    <x:row r="3">
      <x:c r="A3" s="361" t="inlineStr">
        <x:is>
          <x:t xml:space="preserve">BPC-157</x:t>
        </x:is>
      </x:c>
      <x:c r="B3" s="361" t="inlineStr">
        <x:is>
          <x:t xml:space="preserve">BT Labs</x:t>
        </x:is>
      </x:c>
      <x:c r="C3" s="361" t="inlineStr">
        <x:is>
          <x:t xml:space="preserve">On label</x:t>
        </x:is>
      </x:c>
      <x:c r="D3" s="361" t="inlineStr">
        <x:is>
          <x:t xml:space="preserve">Gold</x:t>
        </x:is>
      </x:c>
      <x:c r="E3" s="361" t="n"/>
      <x:c r="F3" s="361" t="inlineStr">
        <x:is>
          <x:t xml:space="preserve">Growth Hormone Support</x:t>
        </x:is>
      </x:c>
    </x:row>
    <x:row r="4">
      <x:c r="A4" s="361" t="inlineStr">
        <x:is>
          <x:t xml:space="preserve">CJC-1295 No DAC</x:t>
        </x:is>
      </x:c>
      <x:c r="B4" s="361" t="inlineStr">
        <x:is>
          <x:t xml:space="preserve">Freedom Diagnostics</x:t>
        </x:is>
      </x:c>
      <x:c r="C4" s="361" t="inlineStr">
        <x:is>
          <x:t xml:space="preserve">Overfilled</x:t>
        </x:is>
      </x:c>
      <x:c r="D4" s="361" t="inlineStr">
        <x:is>
          <x:t xml:space="preserve">Gray</x:t>
        </x:is>
      </x:c>
      <x:c r="E4" s="361" t="n"/>
      <x:c r="F4" s="361" t="inlineStr">
        <x:is>
          <x:t xml:space="preserve">Healing / Recovery</x:t>
        </x:is>
      </x:c>
    </x:row>
    <x:row r="5">
      <x:c r="A5" s="361" t="inlineStr">
        <x:is>
          <x:t xml:space="preserve">Cagrilintide</x:t>
        </x:is>
      </x:c>
      <x:c r="B5" s="361" t="inlineStr">
        <x:is>
          <x:t xml:space="preserve">Janoshik</x:t>
        </x:is>
      </x:c>
      <x:c r="C5" s="361" t="inlineStr">
        <x:is>
          <x:t xml:space="preserve">Underfilled</x:t>
        </x:is>
      </x:c>
      <x:c r="D5" s="361" t="inlineStr">
        <x:is>
          <x:t xml:space="preserve">Not Listed</x:t>
        </x:is>
      </x:c>
      <x:c r="E5" s="361" t="n"/>
      <x:c r="F5" s="361" t="inlineStr">
        <x:is>
          <x:t xml:space="preserve">Metabolic / Fat Loss</x:t>
        </x:is>
      </x:c>
    </x:row>
    <x:row r="6">
      <x:c r="A6" s="361" t="inlineStr">
        <x:is>
          <x:t xml:space="preserve">KPV</x:t>
        </x:is>
      </x:c>
      <x:c r="B6" s="361" t="inlineStr">
        <x:is>
          <x:t xml:space="preserve">Kovera Labs</x:t>
        </x:is>
      </x:c>
      <x:c r="C6" s="361" t="n"/>
      <x:c r="D6" s="361" t="inlineStr">
        <x:is>
          <x:t xml:space="preserve">Royal Blue</x:t>
        </x:is>
      </x:c>
      <x:c r="E6" s="361" t="n"/>
      <x:c r="F6" s="361" t="inlineStr">
        <x:is>
          <x:t xml:space="preserve">Metabolic / Mito</x:t>
        </x:is>
      </x:c>
    </x:row>
    <x:row r="7">
      <x:c r="A7" s="361" t="inlineStr">
        <x:is>
          <x:t xml:space="preserve">MOTS-C</x:t>
        </x:is>
      </x:c>
      <x:c r="B7" s="361" t="n"/>
      <x:c r="C7" s="361" t="n"/>
      <x:c r="D7" s="361" t="n"/>
      <x:c r="E7" s="361" t="n"/>
      <x:c r="F7" s="361" t="inlineStr">
        <x:is>
          <x:t xml:space="preserve">Other</x:t>
        </x:is>
      </x:c>
    </x:row>
    <x:row r="8">
      <x:c r="A8" s="361" t="inlineStr">
        <x:is>
          <x:t xml:space="preserve">Retatrutide</x:t>
        </x:is>
      </x:c>
      <x:c r="B8" s="361" t="n"/>
      <x:c r="C8" s="361" t="n"/>
      <x:c r="D8" s="361" t="n"/>
      <x:c r="E8" s="361" t="n"/>
      <x:c r="F8" s="361" t="n"/>
    </x:row>
    <x:row r="9">
      <x:c r="A9" s="361" t="inlineStr">
        <x:is>
          <x:t xml:space="preserve">SS-31</x:t>
        </x:is>
      </x:c>
      <x:c r="B9" s="361" t="n"/>
      <x:c r="C9" s="361" t="n"/>
      <x:c r="D9" s="361" t="n"/>
      <x:c r="E9" s="361" t="n"/>
      <x:c r="F9" s="361" t="n"/>
    </x:row>
    <x:row r="10">
      <x:c r="A10" s="361" t="inlineStr">
        <x:is>
          <x:t xml:space="preserve">TB-500</x:t>
        </x:is>
      </x:c>
      <x:c r="B10" s="361" t="n"/>
      <x:c r="C10" s="361" t="n"/>
      <x:c r="D10" s="361" t="n"/>
      <x:c r="E10" s="361" t="n"/>
      <x:c r="F10" s="361" t="n"/>
    </x:row>
    <x:row r="11">
      <x:c r="A11" s="361" t="inlineStr">
        <x:is>
          <x:t xml:space="preserve">Tirzepatide</x:t>
        </x:is>
      </x:c>
      <x:c r="B11" s="361" t="n"/>
      <x:c r="C11" s="361" t="n"/>
      <x:c r="D11" s="361" t="n"/>
      <x:c r="E11" s="361" t="n"/>
      <x:c r="F11" s="361" t="n"/>
    </x:row>
  </x:sheetData>
  <x:pageMargins left="0.7" right="0.7" top="0.75" bottom="0.75" header="0.3" footer="0.3"/>
</x:worksheet>
</file>

<file path=xl/worksheets/sheet9.xml><?xml version="1.0" encoding="utf-8"?>
<x:worksheet xmlns:x="http://schemas.openxmlformats.org/spreadsheetml/2006/main">
  <x:sheetFormatPr baseColWidth="8" defaultRowHeight="13.800000190734863"/>
  <x:cols>
    <x:col min="1" max="1" width="35" style="198" customWidth="1"/>
    <x:col min="2" max="2" width="13" style="198" customWidth="1"/>
    <x:col min="3" max="3" width="13" style="198" customWidth="1"/>
    <x:col min="4" max="4" width="13" style="198" customWidth="1"/>
    <x:col min="5" max="5" width="13" style="198" customWidth="1"/>
  </x:cols>
  <x:sheetData>
    <x:row r="1" s="198" customFormat="1" ht="25.649999618530273" customHeight="1">
      <x:c r="A1" s="175" t="inlineStr">
        <x:is>
          <x:t xml:space="preserve">README &amp; Research Disclaimer</x:t>
        </x:is>
      </x:c>
      <x:c r="B1" s="20" t="n"/>
      <x:c r="C1" s="20" t="n"/>
      <x:c r="D1" s="20" t="n"/>
      <x:c r="E1" s="20" t="n"/>
    </x:row>
    <x:row r="2" s="198" customFormat="1" ht="19.200000762939453" customHeight="1">
      <x:c r="A2" s="34" t="inlineStr">
        <x:is>
          <x:t xml:space="preserve">Last updated: 2026-06-09. Includes complete COA/test data with dates, testing labs, report/task numbers, verification keys, batch/lot information, pass/fail status, certificates, and half-life reference for GitHub hosting.</x:t>
        </x:is>
      </x:c>
      <x:c r="B2" s="20" t="n"/>
      <x:c r="C2" s="20" t="n"/>
      <x:c r="D2" s="20" t="n"/>
      <x:c r="E2" s="20" t="n"/>
    </x:row>
    <x:row r="4" s="198" customFormat="1" ht="19.200000762939453" customHeight="1">
      <x:c r="A4" s="35" t="inlineStr">
        <x:is>
          <x:t xml:space="preserve">Short Website Disclaimer</x:t>
        </x:is>
      </x:c>
      <x:c r="B4" s="20" t="n"/>
      <x:c r="C4" s="20" t="n"/>
      <x:c r="D4" s="20" t="n"/>
      <x:c r="E4" s="20" t="n"/>
    </x:row>
    <x:row r="5" s="198" customFormat="1" ht="57.599998474121094" customHeight="1">
      <x:c r="A5" s="36" t="inlineStr">
        <x:is>
          <x:t xml:space="preserve">Research Use Disclaimer: This workbook and related website are independent research-tracking resources that aggregate laboratory testing information for informational purposes only. We do not sell, distribute, recommend, endorse, or provide medical advice regarding any compound, product, laboratory, manufacturer, or vendor. We have no affiliation with any testing laboratory, supplier, or seller referenced.</x:t>
        </x:is>
      </x:c>
      <x:c r="B5" s="20" t="n"/>
      <x:c r="C5" s="20" t="n"/>
      <x:c r="D5" s="20" t="n"/>
      <x:c r="E5" s="20" t="n"/>
    </x:row>
    <x:row r="7" s="198" customFormat="1" ht="17.549999237060547" customHeight="1">
      <x:c r="A7" s="37" t="inlineStr">
        <x:is>
          <x:t xml:space="preserve">Research Information Only</x:t>
        </x:is>
      </x:c>
      <x:c r="B7" s="20" t="n"/>
      <x:c r="C7" s="20" t="n"/>
      <x:c r="D7" s="20" t="n"/>
      <x:c r="E7" s="20" t="n"/>
    </x:row>
    <x:row r="8" s="198" customFormat="1" ht="72" customHeight="1">
      <x:c r="A8" s="38" t="inlineStr">
        <x:is>
          <x:t xml:space="preserve">The information, data, laboratory reports, analyses, summaries, and test results presented in this workbook and related website are provided solely for informational, educational, and research-tracking purposes. This workbook is intended to serve as a repository and tracking resource for laboratory testing information and related research data. Nothing contained here should be interpreted as medical advice, healthcare guidance, pharmaceutical recommendations, treatment recommendations, diagnostic information, or professional advice of any kind. Users should consult qualified healthcare professionals regarding any medical, health, pharmaceutical, or treatment-related decisions.</x:t>
        </x:is>
      </x:c>
      <x:c r="B8" s="20" t="n"/>
      <x:c r="C8" s="20" t="n"/>
      <x:c r="D8" s="20" t="n"/>
      <x:c r="E8" s="20" t="n"/>
    </x:row>
    <x:row r="10" s="198" customFormat="1" ht="17.549999237060547" customHeight="1">
      <x:c r="A10" s="37" t="inlineStr">
        <x:is>
          <x:t xml:space="preserve">No Sale or Distribution of Products</x:t>
        </x:is>
      </x:c>
      <x:c r="B10" s="20" t="n"/>
      <x:c r="C10" s="20" t="n"/>
      <x:c r="D10" s="20" t="n"/>
      <x:c r="E10" s="20" t="n"/>
    </x:row>
    <x:row r="11" s="198" customFormat="1" ht="72" customHeight="1">
      <x:c r="A11" s="38" t="inlineStr">
        <x:is>
          <x:t xml:space="preserve">This workbook and related website do not manufacture, sell, distribute, market, prescribe, recommend, endorse, or facilitate the purchase of any peptide, pharmaceutical product, drug, dietary supplement, investigational compound, or other regulated substance. The inclusion of any compound, peptide, laboratory report, test result, manufacturer name, vendor name, product reference, or testing reference does not constitute an endorsement, recommendation, approval, certification, or verification of such entity or product.</x:t>
        </x:is>
      </x:c>
      <x:c r="B11" s="20" t="n"/>
      <x:c r="C11" s="20" t="n"/>
      <x:c r="D11" s="20" t="n"/>
      <x:c r="E11" s="20" t="n"/>
    </x:row>
    <x:row r="13" s="198" customFormat="1" ht="17.549999237060547" customHeight="1">
      <x:c r="A13" s="37" t="inlineStr">
        <x:is>
          <x:t xml:space="preserve">Independent Research Tracking Platform</x:t>
        </x:is>
      </x:c>
      <x:c r="B13" s="20" t="n"/>
      <x:c r="C13" s="20" t="n"/>
      <x:c r="D13" s="20" t="n"/>
      <x:c r="E13" s="20" t="n"/>
    </x:row>
    <x:row r="14" s="198" customFormat="1" ht="72" customHeight="1">
      <x:c r="A14" s="38" t="inlineStr">
        <x:is>
          <x:t xml:space="preserve">This workbook and related website operate solely as independent tracking and information resources. We are not affiliated with, sponsored by, endorsed by, employed by, compensated by, or otherwise connected to any laboratory, testing facility, manufacturer, distributor, vendor, supplier, research organization, or pharmaceutical company. Any names, trademarks, laboratory reports, or testing references appearing here remain the property of their respective owners and are used solely for identification and informational purposes.</x:t>
        </x:is>
      </x:c>
      <x:c r="B14" s="20" t="n"/>
      <x:c r="C14" s="20" t="n"/>
      <x:c r="D14" s="20" t="n"/>
      <x:c r="E14" s="20" t="n"/>
    </x:row>
    <x:row r="16" s="198" customFormat="1" ht="17.549999237060547" customHeight="1">
      <x:c r="A16" s="37" t="inlineStr">
        <x:is>
          <x:t xml:space="preserve">Accuracy of Information</x:t>
        </x:is>
      </x:c>
      <x:c r="B16" s="20" t="n"/>
      <x:c r="C16" s="20" t="n"/>
      <x:c r="D16" s="20" t="n"/>
      <x:c r="E16" s="20" t="n"/>
    </x:row>
    <x:row r="17" s="198" customFormat="1" ht="72" customHeight="1">
      <x:c r="A17" s="38" t="inlineStr">
        <x:is>
          <x:t xml:space="preserve">While reasonable efforts may be made to maintain accurate and current information, no representation or warranty is made regarding the accuracy, completeness, reliability, timeliness, suitability, or availability of any information presented. Information may contain errors, omissions, outdated content, transcription mistakes, or inaccuracies. Users should independently verify all information before relying upon it.</x:t>
        </x:is>
      </x:c>
      <x:c r="B17" s="20" t="n"/>
      <x:c r="C17" s="20" t="n"/>
      <x:c r="D17" s="20" t="n"/>
      <x:c r="E17" s="20" t="n"/>
    </x:row>
    <x:row r="19" s="198" customFormat="1" ht="17.549999237060547" customHeight="1">
      <x:c r="A19" s="37" t="inlineStr">
        <x:is>
          <x:t xml:space="preserve">No Warranties</x:t>
        </x:is>
      </x:c>
      <x:c r="B19" s="20" t="n"/>
      <x:c r="C19" s="20" t="n"/>
      <x:c r="D19" s="20" t="n"/>
      <x:c r="E19" s="20" t="n"/>
    </x:row>
    <x:row r="20" s="198" customFormat="1" ht="72" customHeight="1">
      <x:c r="A20" s="38" t="inlineStr">
        <x:is>
          <x:t xml:space="preserve">All information is provided "AS IS" and "AS AVAILABLE" without warranties of any kind, whether express or implied, including but not limited to warranties of merchantability, fitness for a particular purpose, accuracy, reliability, or non-infringement.</x:t>
        </x:is>
      </x:c>
      <x:c r="B20" s="20" t="n"/>
      <x:c r="C20" s="20" t="n"/>
      <x:c r="D20" s="20" t="n"/>
      <x:c r="E20" s="20" t="n"/>
    </x:row>
    <x:row r="22" s="198" customFormat="1" ht="17.549999237060547" customHeight="1">
      <x:c r="A22" s="37" t="inlineStr">
        <x:is>
          <x:t xml:space="preserve">Limitation of Liability</x:t>
        </x:is>
      </x:c>
      <x:c r="B22" s="20" t="n"/>
      <x:c r="C22" s="20" t="n"/>
      <x:c r="D22" s="20" t="n"/>
      <x:c r="E22" s="20" t="n"/>
    </x:row>
    <x:row r="23" s="198" customFormat="1" ht="72" customHeight="1">
      <x:c r="A23" s="38" t="inlineStr">
        <x:is>
          <x:t xml:space="preserve">To the fullest extent permitted by applicable federal, state, and local laws, the owners, operators, contributors, and affiliates of this workbook and related website shall not be liable for any direct, indirect, incidental, consequential, special, exemplary, or punitive damages arising from the use of, reliance upon, or inability to use the information contained here.</x:t>
        </x:is>
      </x:c>
      <x:c r="B23" s="20" t="n"/>
      <x:c r="C23" s="20" t="n"/>
      <x:c r="D23" s="20" t="n"/>
      <x:c r="E23" s="20" t="n"/>
    </x:row>
    <x:row r="25" s="198" customFormat="1" ht="17.549999237060547" customHeight="1">
      <x:c r="A25" s="37" t="inlineStr">
        <x:is>
          <x:t xml:space="preserve">Regulatory Compliance</x:t>
        </x:is>
      </x:c>
      <x:c r="B25" s="20" t="n"/>
      <x:c r="C25" s="20" t="n"/>
      <x:c r="D25" s="20" t="n"/>
      <x:c r="E25" s="20" t="n"/>
    </x:row>
    <x:row r="26" s="198" customFormat="1" ht="72" customHeight="1">
      <x:c r="A26" s="38" t="inlineStr">
        <x:is>
          <x:t xml:space="preserve">This workbook and related website are intended to comply with applicable United States federal, state, and local laws. The content presented is intended solely for informational and research-recordkeeping purposes and is not intended to promote, market, advertise, or encourage the use of any regulated substance, investigational compound, pharmaceutical product, or medical treatment. Users are solely responsible for understanding and complying with all laws, regulations, and requirements applicable within their jurisdiction.</x:t>
        </x:is>
      </x:c>
      <x:c r="B26" s="20" t="n"/>
      <x:c r="C26" s="20" t="n"/>
      <x:c r="D26" s="20" t="n"/>
      <x:c r="E26" s="20" t="n"/>
    </x:row>
    <x:row r="28" s="198" customFormat="1" ht="17.549999237060547" customHeight="1">
      <x:c r="A28" s="37" t="inlineStr">
        <x:is>
          <x:t xml:space="preserve">Acceptance of Terms</x:t>
        </x:is>
      </x:c>
      <x:c r="B28" s="20" t="n"/>
      <x:c r="C28" s="20" t="n"/>
      <x:c r="D28" s="20" t="n"/>
      <x:c r="E28" s="20" t="n"/>
    </x:row>
    <x:row r="29" s="198" customFormat="1" ht="72" customHeight="1">
      <x:c r="A29" s="38" t="inlineStr">
        <x:is>
          <x:t xml:space="preserve">By accessing or using this workbook or related website, users acknowledge that they have read, understood, and agreed to this disclaimer and accept full responsibility for their use of any information contained herein.</x:t>
        </x:is>
      </x:c>
      <x:c r="B29" s="20" t="n"/>
      <x:c r="C29" s="20" t="n"/>
      <x:c r="D29" s="20" t="n"/>
      <x:c r="E29" s="20" t="n"/>
    </x:row>
    <x:row r="31">
      <x:c r="A31" s="272" t="inlineStr">
        <x:is>
          <x:t xml:space="preserve">Crimp/Cap Color Tracking</x:t>
        </x:is>
      </x:c>
    </x:row>
    <x:row r="32">
      <x:c r="A32" s="233" t="inlineStr">
        <x:is>
          <x:t xml:space="preserve">The workbook includes editable crimp color, cap color, and closure notes fields for each COA/test record.</x:t>
        </x:is>
      </x:c>
    </x:row>
    <x:row r="33">
      <x:c r="A33" s="233" t="inlineStr">
        <x:is>
          <x:t xml:space="preserve">Use these fields to record visual vial/closure identifiers from photos, labels, or COA source documentation.</x:t>
        </x:is>
      </x:c>
    </x:row>
    <x:row r="34">
      <x:c r="A34" s="233" t="inlineStr">
        <x:is>
          <x:t xml:space="preserve">If the source does not list or show a color, select Unknown or Not Listed rather than guessing.</x:t>
        </x:is>
      </x:c>
    </x:row>
    <x:row r="35">
      <x:c r="A35" s="233" t="inlineStr">
        <x:is>
          <x:t xml:space="preserve">These fields are for organization and research-tracking only.</x:t>
        </x:is>
      </x:c>
    </x:row>
  </x:sheetData>
  <x:mergeCells>
    <x:mergeCell ref="A11:E11"/>
    <x:mergeCell ref="A1:E1"/>
    <x:mergeCell ref="A16:E16"/>
    <x:mergeCell ref="A7:E7"/>
    <x:mergeCell ref="A25:E25"/>
    <x:mergeCell ref="A26:E26"/>
    <x:mergeCell ref="A2:E2"/>
    <x:mergeCell ref="A5:E5"/>
    <x:mergeCell ref="A23:E23"/>
    <x:mergeCell ref="A8:E8"/>
    <x:mergeCell ref="A14:E14"/>
    <x:mergeCell ref="A22:E22"/>
    <x:mergeCell ref="A17:E17"/>
    <x:mergeCell ref="A29:E29"/>
    <x:mergeCell ref="A4:E4"/>
    <x:mergeCell ref="A20:E20"/>
    <x:mergeCell ref="A10:E10"/>
    <x:mergeCell ref="A28:E28"/>
    <x:mergeCell ref="A19:E19"/>
    <x:mergeCell ref="A13:E13"/>
  </x:mergeCell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38" style="198" customWidth="1"/>
    <x:col min="2" max="2" width="17" style="198" customWidth="1"/>
    <x:col min="3" max="3" width="40" style="198" customWidth="1"/>
    <x:col min="4" max="4" width="18" style="198" customWidth="1"/>
    <x:col min="5" max="5" width="21" style="198" customWidth="1"/>
    <x:col min="6" max="6" width="31" style="198" customWidth="1"/>
    <x:col min="7" max="7" width="33" style="198" customWidth="1"/>
    <x:col min="8" max="8" width="10" style="198" customWidth="1"/>
    <x:col min="9" max="9" width="40" style="198" customWidth="1"/>
    <x:col min="10" max="10" width="21" style="198" customWidth="1"/>
    <x:col min="11" max="11" width="21" style="198" customWidth="1"/>
    <x:col min="12" max="12" width="30" style="198" customWidth="1"/>
    <x:col min="13" max="13" width="18" style="198" customWidth="1"/>
    <x:col min="14" max="14" width="34" style="198" customWidth="1"/>
    <x:col min="15" max="15" width="11" style="198" customWidth="1"/>
    <x:col min="16" max="16" width="13" style="198" customWidth="1"/>
    <x:col min="17" max="17" width="13" style="198" customWidth="1"/>
    <x:col min="18" max="18" width="40" style="198" customWidth="1"/>
    <x:col min="19" max="19" width="40" style="198" customWidth="1"/>
    <x:col min="20" max="20" width="16" style="198" customWidth="1"/>
    <x:col min="21" max="21" width="16" style="198" customWidth="1"/>
    <x:col min="22" max="22" width="28" style="198" customWidth="1"/>
  </x:cols>
  <x:sheetData>
    <x:row r="1" s="198" customFormat="1" ht="28" customHeight="1">
      <x:c r="A1" s="377" t="inlineStr">
        <x:is>
          <x:t xml:space="preserve">COA Status Summary — Tested Peptides</x:t>
        </x:is>
      </x:c>
      <x:c r="B1" s="380" t="n"/>
      <x:c r="C1" s="380" t="n"/>
      <x:c r="D1" s="380" t="n"/>
      <x:c r="E1" s="380" t="n"/>
      <x:c r="F1" s="380" t="n"/>
      <x:c r="G1" s="380" t="n"/>
      <x:c r="H1" s="380" t="n"/>
      <x:c r="I1" s="380" t="n"/>
      <x:c r="J1" s="380" t="n"/>
      <x:c r="K1" s="380" t="n"/>
      <x:c r="L1" s="380" t="n"/>
      <x:c r="M1" s="380" t="n"/>
      <x:c r="N1" s="380" t="n"/>
      <x:c r="O1" s="380" t="n"/>
      <x:c r="P1" s="380" t="n"/>
      <x:c r="Q1" s="380" t="n"/>
      <x:c r="R1" s="380" t="n"/>
      <x:c r="S1" s="381" t="n"/>
    </x:row>
    <x:row r="2">
      <x:c r="A2" s="378" t="inlineStr">
        <x:is>
          <x:t xml:space="preserve">Metric</x:t>
        </x:is>
      </x:c>
      <x:c r="B2" s="378" t="inlineStr">
        <x:is>
          <x:t xml:space="preserve">Value</x:t>
        </x:is>
      </x:c>
      <x:c r="C2" s="378" t="inlineStr">
        <x:is>
          <x:t xml:space="preserve">Notes</x:t>
        </x:is>
      </x:c>
      <x:c r="D2" s="378" t="n"/>
      <x:c r="E2" s="378" t="n"/>
      <x:c r="F2" s="378" t="n"/>
      <x:c r="G2" s="378" t="n"/>
      <x:c r="H2" s="378" t="n"/>
      <x:c r="I2" s="378" t="n"/>
      <x:c r="J2" s="378" t="n"/>
      <x:c r="K2" s="378" t="n"/>
      <x:c r="L2" s="378" t="n"/>
      <x:c r="M2" s="378" t="n"/>
      <x:c r="N2" s="378" t="n"/>
      <x:c r="O2" s="378" t="n"/>
      <x:c r="P2" s="378" t="n"/>
      <x:c r="Q2" s="378" t="n"/>
      <x:c r="R2" s="378" t="n"/>
      <x:c r="S2" s="378" t="n"/>
    </x:row>
    <x:row r="3">
      <x:c r="A3" s="361" t="inlineStr">
        <x:is>
          <x:t xml:space="preserve">Total COA/Test Records</x:t>
        </x:is>
      </x:c>
      <x:c r="B3" s="361" t="n">
        <x:v>24</x:v>
      </x:c>
      <x:c r="C3" s="361" t="inlineStr">
        <x:is>
          <x:t xml:space="preserve">All records from COA Database</x:t>
        </x:is>
      </x:c>
      <x:c r="D3" s="361" t="n"/>
      <x:c r="E3" s="361" t="n"/>
      <x:c r="F3" s="361" t="n"/>
      <x:c r="G3" s="361" t="n"/>
      <x:c r="H3" s="361" t="n"/>
      <x:c r="I3" s="361" t="n"/>
      <x:c r="J3" s="361" t="n"/>
      <x:c r="K3" s="361" t="n"/>
      <x:c r="L3" s="361" t="n"/>
      <x:c r="M3" s="361" t="n"/>
      <x:c r="N3" s="361" t="n"/>
      <x:c r="O3" s="361" t="n"/>
      <x:c r="P3" s="361" t="n"/>
      <x:c r="Q3" s="361" t="n"/>
      <x:c r="R3" s="361" t="n"/>
      <x:c r="S3" s="361" t="n"/>
    </x:row>
    <x:row r="4">
      <x:c r="A4" s="361" t="inlineStr">
        <x:is>
          <x:t xml:space="preserve">Unique Peptides</x:t>
        </x:is>
      </x:c>
      <x:c r="B4" s="361" t="n">
        <x:v>10</x:v>
      </x:c>
      <x:c r="C4" s="361" t="inlineStr">
        <x:is>
          <x:t xml:space="preserve">AOD-9604, BPC-157, CJC-1295 No DAC, Cagrilintide, KPV, MOTS-C, Retatrutide, SS-31, TB-500, Tirzepatide</x:t>
        </x:is>
      </x:c>
      <x:c r="D4" s="361" t="n"/>
      <x:c r="E4" s="361" t="n"/>
      <x:c r="F4" s="361" t="n"/>
      <x:c r="G4" s="361" t="n"/>
      <x:c r="H4" s="361" t="n"/>
      <x:c r="I4" s="361" t="n"/>
      <x:c r="J4" s="361" t="n"/>
      <x:c r="K4" s="361" t="n"/>
      <x:c r="L4" s="361" t="n"/>
      <x:c r="M4" s="361" t="n"/>
      <x:c r="N4" s="361" t="n"/>
      <x:c r="O4" s="361" t="n"/>
      <x:c r="P4" s="361" t="n"/>
      <x:c r="Q4" s="361" t="n"/>
      <x:c r="R4" s="361" t="n"/>
      <x:c r="S4" s="361" t="n"/>
    </x:row>
    <x:row r="5">
      <x:c r="A5" s="361" t="inlineStr">
        <x:is>
          <x:t xml:space="preserve">Passed Records</x:t>
        </x:is>
      </x:c>
      <x:c r="B5" s="361" t="n">
        <x:v>24</x:v>
      </x:c>
      <x:c r="C5" s="361" t="inlineStr">
        <x:is>
          <x:t xml:space="preserve">Pass/Fail column</x:t>
        </x:is>
      </x:c>
      <x:c r="D5" s="361" t="n"/>
      <x:c r="E5" s="361" t="n"/>
      <x:c r="F5" s="361" t="n"/>
      <x:c r="G5" s="361" t="n"/>
      <x:c r="H5" s="361" t="n"/>
      <x:c r="I5" s="361" t="n"/>
      <x:c r="J5" s="361" t="n"/>
      <x:c r="K5" s="361" t="n"/>
      <x:c r="L5" s="361" t="n"/>
      <x:c r="M5" s="361" t="n"/>
      <x:c r="N5" s="361" t="n"/>
      <x:c r="O5" s="361" t="n"/>
      <x:c r="P5" s="361" t="n"/>
      <x:c r="Q5" s="361" t="n"/>
      <x:c r="R5" s="361" t="n"/>
      <x:c r="S5" s="361" t="n"/>
    </x:row>
    <x:row r="6">
      <x:c r="A6" s="361" t="inlineStr">
        <x:is>
          <x:t xml:space="preserve">Overfilled</x:t>
        </x:is>
      </x:c>
      <x:c r="B6" s="361" t="n">
        <x:v>17</x:v>
      </x:c>
      <x:c r="C6" s="361" t="inlineStr">
        <x:is>
          <x:t xml:space="preserve">Status column</x:t>
        </x:is>
      </x:c>
      <x:c r="D6" s="361" t="n"/>
      <x:c r="E6" s="361" t="n"/>
      <x:c r="F6" s="361" t="n"/>
      <x:c r="G6" s="361" t="n"/>
      <x:c r="H6" s="361" t="n"/>
      <x:c r="I6" s="361" t="n"/>
      <x:c r="J6" s="361" t="n"/>
      <x:c r="K6" s="361" t="n"/>
      <x:c r="L6" s="361" t="n"/>
      <x:c r="M6" s="361" t="n"/>
      <x:c r="N6" s="361" t="n"/>
      <x:c r="O6" s="361" t="n"/>
      <x:c r="P6" s="361" t="n"/>
      <x:c r="Q6" s="361" t="n"/>
      <x:c r="R6" s="361" t="n"/>
      <x:c r="S6" s="361" t="n"/>
    </x:row>
    <x:row r="7">
      <x:c r="A7" s="361" t="inlineStr">
        <x:is>
          <x:t xml:space="preserve">Underfilled</x:t>
        </x:is>
      </x:c>
      <x:c r="B7" s="361" t="n">
        <x:v>1</x:v>
      </x:c>
      <x:c r="C7" s="361" t="inlineStr">
        <x:is>
          <x:t xml:space="preserve">Status column</x:t>
        </x:is>
      </x:c>
      <x:c r="D7" s="361" t="n"/>
      <x:c r="E7" s="361" t="n"/>
      <x:c r="F7" s="361" t="n"/>
      <x:c r="G7" s="361" t="n"/>
      <x:c r="H7" s="361" t="n"/>
      <x:c r="I7" s="361" t="n"/>
      <x:c r="J7" s="361" t="n"/>
      <x:c r="K7" s="361" t="n"/>
      <x:c r="L7" s="361" t="n"/>
      <x:c r="M7" s="361" t="n"/>
      <x:c r="N7" s="361" t="n"/>
      <x:c r="O7" s="361" t="n"/>
      <x:c r="P7" s="361" t="n"/>
      <x:c r="Q7" s="361" t="n"/>
      <x:c r="R7" s="361" t="n"/>
      <x:c r="S7" s="361" t="n"/>
    </x:row>
    <x:row r="8">
      <x:c r="A8" s="361" t="inlineStr">
        <x:is>
          <x:t xml:space="preserve">On Label/Review</x:t>
        </x:is>
      </x:c>
      <x:c r="B8" s="361" t="n">
        <x:v>5</x:v>
      </x:c>
      <x:c r="C8" s="361" t="inlineStr">
        <x:is>
          <x:t xml:space="preserve">Status column</x:t>
        </x:is>
      </x:c>
      <x:c r="D8" s="361" t="n"/>
      <x:c r="E8" s="361" t="n"/>
      <x:c r="F8" s="361" t="n"/>
      <x:c r="G8" s="361" t="n"/>
      <x:c r="H8" s="361" t="n"/>
      <x:c r="I8" s="361" t="n"/>
      <x:c r="J8" s="361" t="n"/>
      <x:c r="K8" s="361" t="n"/>
      <x:c r="L8" s="361" t="n"/>
      <x:c r="M8" s="361" t="n"/>
      <x:c r="N8" s="361" t="n"/>
      <x:c r="O8" s="361" t="n"/>
      <x:c r="P8" s="361" t="n"/>
      <x:c r="Q8" s="361" t="n"/>
      <x:c r="R8" s="361" t="n"/>
      <x:c r="S8" s="361" t="n"/>
    </x:row>
    <x:row r="9">
      <x:c r="A9" s="361" t="inlineStr">
        <x:is>
          <x:t xml:space="preserve">Average Purity %</x:t>
        </x:is>
      </x:c>
      <x:c r="B9" s="361" t="n">
        <x:v>99.6413</x:v>
      </x:c>
      <x:c r="C9" s="361" t="inlineStr">
        <x:is>
          <x:t xml:space="preserve">Based on populated purity values</x:t>
        </x:is>
      </x:c>
      <x:c r="D9" s="361" t="n"/>
      <x:c r="E9" s="361" t="n"/>
      <x:c r="F9" s="361" t="n"/>
      <x:c r="G9" s="361" t="n"/>
      <x:c r="H9" s="361" t="n"/>
      <x:c r="I9" s="361" t="n"/>
      <x:c r="J9" s="361" t="n"/>
      <x:c r="K9" s="361" t="n"/>
      <x:c r="L9" s="361" t="n"/>
      <x:c r="M9" s="361" t="n"/>
      <x:c r="N9" s="361" t="n"/>
      <x:c r="O9" s="361" t="n"/>
      <x:c r="P9" s="361" t="n"/>
      <x:c r="Q9" s="361" t="n"/>
      <x:c r="R9" s="361" t="n"/>
      <x:c r="S9" s="361" t="n"/>
    </x:row>
    <x:row r="10">
      <x:c r="A10" s="361" t="inlineStr">
        <x:is>
          <x:t xml:space="preserve">Unique Labs</x:t>
        </x:is>
      </x:c>
      <x:c r="B10" s="361" t="n">
        <x:v>5</x:v>
      </x:c>
      <x:c r="C10" s="361" t="inlineStr">
        <x:is>
          <x:t xml:space="preserve">Aminos Analytics, BT Labs, Freedom Diagnostics, Janoshik, Kovera Labs</x:t>
        </x:is>
      </x:c>
      <x:c r="D10" s="361" t="n"/>
      <x:c r="E10" s="361" t="n"/>
      <x:c r="F10" s="361" t="n"/>
      <x:c r="G10" s="361" t="n"/>
      <x:c r="H10" s="361" t="n"/>
      <x:c r="I10" s="361" t="n"/>
      <x:c r="J10" s="361" t="n"/>
      <x:c r="K10" s="361" t="n"/>
      <x:c r="L10" s="361" t="n"/>
      <x:c r="M10" s="361" t="n"/>
      <x:c r="N10" s="361" t="n"/>
      <x:c r="O10" s="361" t="n"/>
      <x:c r="P10" s="361" t="n"/>
      <x:c r="Q10" s="361" t="n"/>
      <x:c r="R10" s="361" t="n"/>
      <x:c r="S10" s="361" t="n"/>
    </x:row>
    <x:row r="11">
      <x:c r="A11" s="361" t="inlineStr">
        <x:is>
          <x:t xml:space="preserve">Last Test Date</x:t>
        </x:is>
      </x:c>
      <x:c r="B11" s="361" t="inlineStr">
        <x:is>
          <x:t xml:space="preserve">2026-06-14</x:t>
        </x:is>
      </x:c>
      <x:c r="C11" s="361" t="inlineStr">
        <x:is>
          <x:t xml:space="preserve">Most recent test date</x:t>
        </x:is>
      </x:c>
      <x:c r="D11" s="361" t="n"/>
      <x:c r="E11" s="361" t="n"/>
      <x:c r="F11" s="361" t="n"/>
      <x:c r="G11" s="361" t="n"/>
      <x:c r="H11" s="361" t="n"/>
      <x:c r="I11" s="361" t="n"/>
      <x:c r="J11" s="361" t="n"/>
      <x:c r="K11" s="361" t="n"/>
      <x:c r="L11" s="361" t="n"/>
      <x:c r="M11" s="361" t="n"/>
      <x:c r="N11" s="361" t="n"/>
      <x:c r="O11" s="361" t="n"/>
      <x:c r="P11" s="361" t="n"/>
      <x:c r="Q11" s="361" t="n"/>
      <x:c r="R11" s="361" t="n"/>
      <x:c r="S11" s="361" t="n"/>
    </x:row>
    <x:row r="12">
      <x:c r="A12" s="361" t="n"/>
      <x:c r="B12" s="361" t="n"/>
      <x:c r="C12" s="361" t="n"/>
      <x:c r="D12" s="361" t="n"/>
      <x:c r="E12" s="361" t="n"/>
      <x:c r="F12" s="361" t="n"/>
      <x:c r="G12" s="361" t="n"/>
      <x:c r="H12" s="361" t="n"/>
      <x:c r="I12" s="361" t="n"/>
      <x:c r="J12" s="361" t="n"/>
      <x:c r="K12" s="361" t="n"/>
      <x:c r="L12" s="361" t="n"/>
      <x:c r="M12" s="361" t="n"/>
      <x:c r="N12" s="361" t="n"/>
      <x:c r="O12" s="361" t="n"/>
      <x:c r="P12" s="361" t="n"/>
      <x:c r="Q12" s="361" t="n"/>
      <x:c r="R12" s="361" t="n"/>
      <x:c r="S12" s="361" t="n"/>
    </x:row>
    <x:row r="13">
      <x:c r="A13" s="378" t="inlineStr">
        <x:is>
          <x:t xml:space="preserve">COA ID</x:t>
        </x:is>
      </x:c>
      <x:c r="B13" s="378" t="inlineStr">
        <x:is>
          <x:t xml:space="preserve">Compound</x:t>
        </x:is>
      </x:c>
      <x:c r="C13" s="378" t="inlineStr">
        <x:is>
          <x:t xml:space="preserve">Compound Type</x:t>
        </x:is>
      </x:c>
      <x:c r="D13" s="378" t="inlineStr">
        <x:is>
          <x:t xml:space="preserve">Labeled Qty (mg)</x:t>
        </x:is>
      </x:c>
      <x:c r="E13" s="378" t="inlineStr">
        <x:is>
          <x:t xml:space="preserve">Actual Content (mg)</x:t>
        </x:is>
      </x:c>
      <x:c r="F13" s="378" t="inlineStr">
        <x:is>
          <x:t xml:space="preserve">Variance (mg)</x:t>
        </x:is>
      </x:c>
      <x:c r="G13" s="378" t="inlineStr">
        <x:is>
          <x:t xml:space="preserve">Variance %</x:t>
        </x:is>
      </x:c>
      <x:c r="H13" s="378" t="inlineStr">
        <x:is>
          <x:t xml:space="preserve">Purity %</x:t>
        </x:is>
      </x:c>
      <x:c r="I13" s="378" t="inlineStr">
        <x:is>
          <x:t xml:space="preserve">Status</x:t>
        </x:is>
      </x:c>
      <x:c r="J13" s="378" t="inlineStr">
        <x:is>
          <x:t xml:space="preserve">Lab</x:t>
        </x:is>
      </x:c>
      <x:c r="K13" s="378" t="inlineStr">
        <x:is>
          <x:t xml:space="preserve">Test Date</x:t>
        </x:is>
      </x:c>
      <x:c r="L13" s="378" t="inlineStr">
        <x:is>
          <x:t xml:space="preserve">Report/Task #</x:t>
        </x:is>
      </x:c>
      <x:c r="M13" s="378" t="inlineStr">
        <x:is>
          <x:t xml:space="preserve">Verification Key</x:t>
        </x:is>
      </x:c>
      <x:c r="N13" s="378" t="inlineStr">
        <x:is>
          <x:t xml:space="preserve">Batch/Lot</x:t>
        </x:is>
      </x:c>
      <x:c r="O13" s="378" t="inlineStr">
        <x:is>
          <x:t xml:space="preserve">Pass/Fail</x:t>
        </x:is>
      </x:c>
      <x:c r="P13" s="378" t="inlineStr">
        <x:is>
          <x:t xml:space="preserve">Crimp Color</x:t>
        </x:is>
      </x:c>
      <x:c r="Q13" s="378" t="inlineStr">
        <x:is>
          <x:t xml:space="preserve">Cap Color</x:t>
        </x:is>
      </x:c>
      <x:c r="R13" s="378" t="inlineStr">
        <x:is>
          <x:t xml:space="preserve">Closure Notes</x:t>
        </x:is>
      </x:c>
      <x:c r="S13" s="378" t="inlineStr">
        <x:is>
          <x:t xml:space="preserve">Notes</x:t>
        </x:is>
      </x:c>
    </x:row>
    <x:row r="14">
      <x:c r="A14" s="361" t="inlineStr">
        <x:is>
          <x:t xml:space="preserve">COA-0001</x:t>
        </x:is>
      </x:c>
      <x:c r="B14" s="361" t="inlineStr">
        <x:is>
          <x:t xml:space="preserve">Retatrutide</x:t>
        </x:is>
      </x:c>
      <x:c r="C14" s="361" t="inlineStr">
        <x:is>
          <x:t xml:space="preserve">GLP-1 / Weight</x:t>
        </x:is>
      </x:c>
      <x:c r="D14" s="361" t="n">
        <x:v>10</x:v>
      </x:c>
      <x:c r="E14" s="361" t="n">
        <x:v>11.8</x:v>
      </x:c>
      <x:c r="F14" s="361" t="n">
        <x:v>1.800000000000001</x:v>
      </x:c>
      <x:c r="G14" s="361" t="n">
        <x:v>0.1800000000000001</x:v>
      </x:c>
      <x:c r="H14" s="361" t="n">
        <x:v>99.51600000000001</x:v>
      </x:c>
      <x:c r="I14" s="365" t="inlineStr">
        <x:is>
          <x:t xml:space="preserve">Overfilled</x:t>
        </x:is>
      </x:c>
      <x:c r="J14" s="361" t="inlineStr">
        <x:is>
          <x:t xml:space="preserve">Janoshik</x:t>
        </x:is>
      </x:c>
      <x:c r="K14" s="379" t="n">
        <x:v>46156</x:v>
      </x:c>
      <x:c r="L14" s="361" t="inlineStr">
        <x:is>
          <x:t xml:space="preserve">#155137</x:t>
        </x:is>
      </x:c>
      <x:c r="M14" s="361" t="inlineStr">
        <x:is>
          <x:t xml:space="preserve">MLPR8T82ANB5</x:t>
        </x:is>
      </x:c>
      <x:c r="N14" s="361" t="inlineStr">
        <x:is>
          <x:t xml:space="preserve">260425</x:t>
        </x:is>
      </x:c>
      <x:c r="O14" s="367" t="inlineStr">
        <x:is>
          <x:t xml:space="preserve">Pass</x:t>
        </x:is>
      </x:c>
      <x:c r="P14" s="368" t="inlineStr">
        <x:is>
          <x:t xml:space="preserve">Not Listed</x:t>
        </x:is>
      </x:c>
      <x:c r="Q14" s="368" t="inlineStr">
        <x:is>
          <x:t xml:space="preserve">Not Listed</x:t>
        </x:is>
      </x:c>
      <x:c r="R14" s="361" t="inlineStr">
        <x:is>
          <x:t xml:space="preserve">Crimp/cap color not listed or visible in the COA/testing record.</x:t>
        </x:is>
      </x:c>
      <x:c r="S14" s="361" t="inlineStr">
        <x:is>
          <x:t xml:space="preserve">RT10 - common GLP-1 blind test; overfilled</x:t>
        </x:is>
      </x:c>
    </x:row>
    <x:row r="15">
      <x:c r="A15" s="361" t="inlineStr">
        <x:is>
          <x:t xml:space="preserve">COA-0002</x:t>
        </x:is>
      </x:c>
      <x:c r="B15" s="361" t="inlineStr">
        <x:is>
          <x:t xml:space="preserve">Retatrutide</x:t>
        </x:is>
      </x:c>
      <x:c r="C15" s="361" t="inlineStr">
        <x:is>
          <x:t xml:space="preserve">GLP-1 / Weight</x:t>
        </x:is>
      </x:c>
      <x:c r="D15" s="361" t="n">
        <x:v>10</x:v>
      </x:c>
      <x:c r="E15" s="361" t="n">
        <x:v>10</x:v>
      </x:c>
      <x:c r="F15" s="361" t="n">
        <x:v>0</x:v>
      </x:c>
      <x:c r="G15" s="361" t="n">
        <x:v>0</x:v>
      </x:c>
      <x:c r="H15" s="361" t="n">
        <x:v>99.369</x:v>
      </x:c>
      <x:c r="I15" s="369" t="inlineStr">
        <x:is>
          <x:t xml:space="preserve">On label</x:t>
        </x:is>
      </x:c>
      <x:c r="J15" s="361" t="inlineStr">
        <x:is>
          <x:t xml:space="preserve">Janoshik</x:t>
        </x:is>
      </x:c>
      <x:c r="K15" s="379" t="n">
        <x:v>46057</x:v>
      </x:c>
      <x:c r="L15" s="361" t="inlineStr">
        <x:is>
          <x:t xml:space="preserve">#105187</x:t>
        </x:is>
      </x:c>
      <x:c r="M15" s="361" t="inlineStr">
        <x:is>
          <x:t xml:space="preserve">3UKCXZPJAWQR</x:t>
        </x:is>
      </x:c>
      <x:c r="N15" s="361" t="inlineStr">
        <x:is>
          <x:t xml:space="preserve">2026.01.26.hva16</x:t>
        </x:is>
      </x:c>
      <x:c r="O15" s="367" t="inlineStr">
        <x:is>
          <x:t xml:space="preserve">Pass</x:t>
        </x:is>
      </x:c>
      <x:c r="P15" s="368" t="inlineStr">
        <x:is>
          <x:t xml:space="preserve">Not Listed</x:t>
        </x:is>
      </x:c>
      <x:c r="Q15" s="368" t="inlineStr">
        <x:is>
          <x:t xml:space="preserve">Not Listed</x:t>
        </x:is>
      </x:c>
      <x:c r="R15" s="361" t="inlineStr">
        <x:is>
          <x:t xml:space="preserve">Crimp/cap color not listed or visible in the COA/testing record.</x:t>
        </x:is>
      </x:c>
      <x:c r="S15" s="361" t="inlineStr">
        <x:is>
          <x:t xml:space="preserve">On label</x:t>
        </x:is>
      </x:c>
    </x:row>
    <x:row r="16">
      <x:c r="A16" s="361" t="inlineStr">
        <x:is>
          <x:t xml:space="preserve">COA-0003</x:t>
        </x:is>
      </x:c>
      <x:c r="B16" s="361" t="inlineStr">
        <x:is>
          <x:t xml:space="preserve">Retatrutide</x:t>
        </x:is>
      </x:c>
      <x:c r="C16" s="361" t="inlineStr">
        <x:is>
          <x:t xml:space="preserve">GLP-1 / Weight</x:t>
        </x:is>
      </x:c>
      <x:c r="D16" s="361" t="n">
        <x:v>5</x:v>
      </x:c>
      <x:c r="E16" s="361" t="n">
        <x:v>6.63</x:v>
      </x:c>
      <x:c r="F16" s="361" t="n">
        <x:v>1.63</x:v>
      </x:c>
      <x:c r="G16" s="361" t="n">
        <x:v>0.326</x:v>
      </x:c>
      <x:c r="H16" s="361" t="n">
        <x:v>99.654</x:v>
      </x:c>
      <x:c r="I16" s="365" t="inlineStr">
        <x:is>
          <x:t xml:space="preserve">Overfilled</x:t>
        </x:is>
      </x:c>
      <x:c r="J16" s="361" t="inlineStr">
        <x:is>
          <x:t xml:space="preserve">Kovera Labs</x:t>
        </x:is>
      </x:c>
      <x:c r="K16" s="379" t="n">
        <x:v>46174</x:v>
      </x:c>
      <x:c r="L16" s="361" t="inlineStr">
        <x:is>
          <x:t xml:space="preserve">Redacted</x:t>
        </x:is>
      </x:c>
      <x:c r="M16" s="361" t="inlineStr">
        <x:is>
          <x:t xml:space="preserve">Redacted</x:t>
        </x:is>
      </x:c>
      <x:c r="N16" s="361" t="inlineStr">
        <x:is>
          <x:t xml:space="preserve">Redacted</x:t>
        </x:is>
      </x:c>
      <x:c r="O16" s="367" t="inlineStr">
        <x:is>
          <x:t xml:space="preserve">Pass</x:t>
        </x:is>
      </x:c>
      <x:c r="P16" s="368" t="inlineStr">
        <x:is>
          <x:t xml:space="preserve">Not Listed</x:t>
        </x:is>
      </x:c>
      <x:c r="Q16" s="368" t="inlineStr">
        <x:is>
          <x:t xml:space="preserve">Not Listed</x:t>
        </x:is>
      </x:c>
      <x:c r="R16" s="361" t="inlineStr">
        <x:is>
          <x:t xml:space="preserve">Crimp/cap color not listed or visible in the COA/testing record.</x:t>
        </x:is>
      </x:c>
      <x:c r="S16" s="361" t="inlineStr">
        <x:is>
          <x:t xml:space="preserve">Heavy metals negative; endotoxin pass</x:t>
        </x:is>
      </x:c>
    </x:row>
    <x:row r="17">
      <x:c r="A17" s="361" t="inlineStr">
        <x:is>
          <x:t xml:space="preserve">COA-0004</x:t>
        </x:is>
      </x:c>
      <x:c r="B17" s="361" t="inlineStr">
        <x:is>
          <x:t xml:space="preserve">Retatrutide</x:t>
        </x:is>
      </x:c>
      <x:c r="C17" s="361" t="inlineStr">
        <x:is>
          <x:t xml:space="preserve">GLP-1 / Weight</x:t>
        </x:is>
      </x:c>
      <x:c r="D17" s="361" t="n">
        <x:v>15</x:v>
      </x:c>
      <x:c r="E17" s="361" t="n">
        <x:v>17.93</x:v>
      </x:c>
      <x:c r="F17" s="361" t="n">
        <x:v>2.93</x:v>
      </x:c>
      <x:c r="G17" s="361" t="n">
        <x:v>0.1953333333333333</x:v>
      </x:c>
      <x:c r="H17" s="361" t="n">
        <x:v>99.491</x:v>
      </x:c>
      <x:c r="I17" s="365" t="inlineStr">
        <x:is>
          <x:t xml:space="preserve">Overfilled</x:t>
        </x:is>
      </x:c>
      <x:c r="J17" s="361" t="inlineStr">
        <x:is>
          <x:t xml:space="preserve">Kovera Labs</x:t>
        </x:is>
      </x:c>
      <x:c r="K17" s="379" t="n">
        <x:v>46175</x:v>
      </x:c>
      <x:c r="L17" s="361" t="inlineStr">
        <x:is>
          <x:t xml:space="preserve">Redacted</x:t>
        </x:is>
      </x:c>
      <x:c r="M17" s="361" t="inlineStr">
        <x:is>
          <x:t xml:space="preserve">Redacted</x:t>
        </x:is>
      </x:c>
      <x:c r="N17" s="361" t="inlineStr">
        <x:is>
          <x:t xml:space="preserve">Redacted</x:t>
        </x:is>
      </x:c>
      <x:c r="O17" s="367" t="inlineStr">
        <x:is>
          <x:t xml:space="preserve">Pass</x:t>
        </x:is>
      </x:c>
      <x:c r="P17" s="368" t="inlineStr">
        <x:is>
          <x:t xml:space="preserve">Not Listed</x:t>
        </x:is>
      </x:c>
      <x:c r="Q17" s="368" t="inlineStr">
        <x:is>
          <x:t xml:space="preserve">Not Listed</x:t>
        </x:is>
      </x:c>
      <x:c r="R17" s="361" t="inlineStr">
        <x:is>
          <x:t xml:space="preserve">Crimp/cap color not listed or visible in the COA/testing record.</x:t>
        </x:is>
      </x:c>
      <x:c r="S17" s="361" t="inlineStr">
        <x:is>
          <x:t xml:space="preserve">Heavy metals negative; endotoxin pass</x:t>
        </x:is>
      </x:c>
    </x:row>
    <x:row r="18">
      <x:c r="A18" s="361" t="inlineStr">
        <x:is>
          <x:t xml:space="preserve">COA-0005</x:t>
        </x:is>
      </x:c>
      <x:c r="B18" s="361" t="inlineStr">
        <x:is>
          <x:t xml:space="preserve">Retatrutide</x:t>
        </x:is>
      </x:c>
      <x:c r="C18" s="361" t="inlineStr">
        <x:is>
          <x:t xml:space="preserve">GLP-1 / Weight</x:t>
        </x:is>
      </x:c>
      <x:c r="D18" s="361" t="n">
        <x:v>10</x:v>
      </x:c>
      <x:c r="E18" s="361" t="n">
        <x:v>11.77</x:v>
      </x:c>
      <x:c r="F18" s="361" t="n">
        <x:v>1.77</x:v>
      </x:c>
      <x:c r="G18" s="361" t="n">
        <x:v>0.177</x:v>
      </x:c>
      <x:c r="H18" s="361" t="n">
        <x:v>99.96299999999999</x:v>
      </x:c>
      <x:c r="I18" s="365" t="inlineStr">
        <x:is>
          <x:t xml:space="preserve">Overfilled</x:t>
        </x:is>
      </x:c>
      <x:c r="J18" s="361" t="inlineStr">
        <x:is>
          <x:t xml:space="preserve">Kovera Labs</x:t>
        </x:is>
      </x:c>
      <x:c r="K18" s="379" t="n">
        <x:v>46117</x:v>
      </x:c>
      <x:c r="L18" s="361" t="inlineStr">
        <x:is>
          <x:t xml:space="preserve">KVR-2026-A91FF9</x:t>
        </x:is>
      </x:c>
      <x:c r="M18" s="361" t="inlineStr">
        <x:is>
          <x:t xml:space="preserve">N/A</x:t>
        </x:is>
      </x:c>
      <x:c r="N18" s="361" t="inlineStr">
        <x:is>
          <x:t xml:space="preserve">RT10-0331</x:t>
        </x:is>
      </x:c>
      <x:c r="O18" s="367" t="inlineStr">
        <x:is>
          <x:t xml:space="preserve">Pass</x:t>
        </x:is>
      </x:c>
      <x:c r="P18" s="368" t="inlineStr">
        <x:is>
          <x:t xml:space="preserve">Not Listed</x:t>
        </x:is>
      </x:c>
      <x:c r="Q18" s="368" t="inlineStr">
        <x:is>
          <x:t xml:space="preserve">Not Listed</x:t>
        </x:is>
      </x:c>
      <x:c r="R18" s="361" t="inlineStr">
        <x:is>
          <x:t xml:space="preserve">Crimp/cap color not listed or visible in the COA/testing record.</x:t>
        </x:is>
      </x:c>
      <x:c r="S18" s="361" t="inlineStr">
        <x:is>
          <x:t xml:space="preserve">Trivial-3R / Retatrutide; batch avg</x:t>
        </x:is>
      </x:c>
    </x:row>
    <x:row r="19">
      <x:c r="A19" s="361" t="inlineStr">
        <x:is>
          <x:t xml:space="preserve">COA-0006</x:t>
        </x:is>
      </x:c>
      <x:c r="B19" s="361" t="inlineStr">
        <x:is>
          <x:t xml:space="preserve">Retatrutide</x:t>
        </x:is>
      </x:c>
      <x:c r="C19" s="361" t="inlineStr">
        <x:is>
          <x:t xml:space="preserve">GLP-1 / Weight</x:t>
        </x:is>
      </x:c>
      <x:c r="D19" s="361" t="n"/>
      <x:c r="E19" s="361" t="n">
        <x:v>22.47</x:v>
      </x:c>
      <x:c r="F19" s="361" t="str">
        <x:f>IF(OR(D7="",E7=""),"",E7-D7)</x:f>
      </x:c>
      <x:c r="G19" s="361" t="str">
        <x:f>IF(OR(D7="",E7=""),"",E7/D7-1)</x:f>
      </x:c>
      <x:c r="H19" s="361" t="n">
        <x:v>99.5</x:v>
      </x:c>
      <x:c r="I19" s="370" t="str">
        <x:f>IF(G7="","Review",IF(G7&gt;0.03,"Overfilled",IF(G7&lt;-0.03,"Underfilled","On label")))</x:f>
        <x:v>Review</x:v>
      </x:c>
      <x:c r="J19" s="361" t="inlineStr">
        <x:is>
          <x:t xml:space="preserve">Aminos Analytics</x:t>
        </x:is>
      </x:c>
      <x:c r="K19" s="379" t="n">
        <x:v>46146</x:v>
      </x:c>
      <x:c r="L19" s="361" t="inlineStr">
        <x:is>
          <x:t xml:space="preserve">Redacted</x:t>
        </x:is>
      </x:c>
      <x:c r="M19" s="361" t="inlineStr">
        <x:is>
          <x:t xml:space="preserve">N/A</x:t>
        </x:is>
      </x:c>
      <x:c r="N19" s="361" t="inlineStr">
        <x:is>
          <x:t xml:space="preserve">Not provided</x:t>
        </x:is>
      </x:c>
      <x:c r="O19" s="367" t="inlineStr">
        <x:is>
          <x:t xml:space="preserve">Pass</x:t>
        </x:is>
      </x:c>
      <x:c r="P19" s="368" t="inlineStr">
        <x:is>
          <x:t xml:space="preserve">Not Listed</x:t>
        </x:is>
      </x:c>
      <x:c r="Q19" s="368" t="inlineStr">
        <x:is>
          <x:t xml:space="preserve">Not Listed</x:t>
        </x:is>
      </x:c>
      <x:c r="R19" s="361" t="inlineStr">
        <x:is>
          <x:t xml:space="preserve">Crimp/cap color not listed or visible in the COA/testing record.</x:t>
        </x:is>
      </x:c>
      <x:c r="S19" s="361" t="inlineStr">
        <x:is>
          <x:t xml:space="preserve">Labeled quantity unclear from image</x:t>
        </x:is>
      </x:c>
    </x:row>
    <x:row r="20">
      <x:c r="A20" s="361" t="inlineStr">
        <x:is>
          <x:t xml:space="preserve">COA-0007</x:t>
        </x:is>
      </x:c>
      <x:c r="B20" s="361" t="inlineStr">
        <x:is>
          <x:t xml:space="preserve">Tirzepatide</x:t>
        </x:is>
      </x:c>
      <x:c r="C20" s="361" t="inlineStr">
        <x:is>
          <x:t xml:space="preserve">GLP-1 / Weight</x:t>
        </x:is>
      </x:c>
      <x:c r="D20" s="361" t="n">
        <x:v>20</x:v>
      </x:c>
      <x:c r="E20" s="361" t="n">
        <x:v>26</x:v>
      </x:c>
      <x:c r="F20" s="361" t="n">
        <x:v>6</x:v>
      </x:c>
      <x:c r="G20" s="361" t="n">
        <x:v>0.3</x:v>
      </x:c>
      <x:c r="H20" s="361" t="n">
        <x:v>99.7</x:v>
      </x:c>
      <x:c r="I20" s="365" t="inlineStr">
        <x:is>
          <x:t xml:space="preserve">Overfilled</x:t>
        </x:is>
      </x:c>
      <x:c r="J20" s="361" t="inlineStr">
        <x:is>
          <x:t xml:space="preserve">BT Labs</x:t>
        </x:is>
      </x:c>
      <x:c r="K20" s="379" t="n">
        <x:v>46133</x:v>
      </x:c>
      <x:c r="L20" s="361" t="inlineStr">
        <x:is>
          <x:t xml:space="preserve">IF-824-QSA-TR006-BTL26263-02</x:t>
        </x:is>
      </x:c>
      <x:c r="M20" s="361" t="inlineStr">
        <x:is>
          <x:t xml:space="preserve">N/A</x:t>
        </x:is>
      </x:c>
      <x:c r="N20" s="361" t="inlineStr">
        <x:is>
          <x:t xml:space="preserve">0426royal</x:t>
        </x:is>
      </x:c>
      <x:c r="O20" s="367" t="inlineStr">
        <x:is>
          <x:t xml:space="preserve">Pass</x:t>
        </x:is>
      </x:c>
      <x:c r="P20" s="368" t="inlineStr">
        <x:is>
          <x:t xml:space="preserve">Not Listed</x:t>
        </x:is>
      </x:c>
      <x:c r="Q20" s="371" t="inlineStr">
        <x:is>
          <x:t xml:space="preserve">Royal Blue</x:t>
        </x:is>
      </x:c>
      <x:c r="R20" s="361" t="inlineStr">
        <x:is>
          <x:t xml:space="preserve">Cap color copied from COA/batch descriptor: 0426royal.</x:t>
        </x:is>
      </x:c>
      <x:c r="S20" s="361" t="inlineStr">
        <x:is>
          <x:t xml:space="preserve">20 mg label; 130.1% potency</x:t>
        </x:is>
      </x:c>
    </x:row>
    <x:row r="21">
      <x:c r="A21" s="361" t="inlineStr">
        <x:is>
          <x:t xml:space="preserve">COA-0008</x:t>
        </x:is>
      </x:c>
      <x:c r="B21" s="361" t="inlineStr">
        <x:is>
          <x:t xml:space="preserve">Tirzepatide</x:t>
        </x:is>
      </x:c>
      <x:c r="C21" s="361" t="inlineStr">
        <x:is>
          <x:t xml:space="preserve">GLP-1 / Weight</x:t>
        </x:is>
      </x:c>
      <x:c r="D21" s="361" t="n">
        <x:v>40</x:v>
      </x:c>
      <x:c r="E21" s="361" t="n">
        <x:v>46.6</x:v>
      </x:c>
      <x:c r="F21" s="361" t="n">
        <x:v>6.600000000000001</x:v>
      </x:c>
      <x:c r="G21" s="361" t="n">
        <x:v>0.165</x:v>
      </x:c>
      <x:c r="H21" s="361" t="n">
        <x:v>99.7</x:v>
      </x:c>
      <x:c r="I21" s="365" t="inlineStr">
        <x:is>
          <x:t xml:space="preserve">Overfilled</x:t>
        </x:is>
      </x:c>
      <x:c r="J21" s="361" t="inlineStr">
        <x:is>
          <x:t xml:space="preserve">BT Labs</x:t>
        </x:is>
      </x:c>
      <x:c r="K21" s="379" t="n">
        <x:v>46106</x:v>
      </x:c>
      <x:c r="L21" s="361" t="inlineStr">
        <x:is>
          <x:t xml:space="preserve">IF-824-QSA-TR006-BTL2695-01</x:t>
        </x:is>
      </x:c>
      <x:c r="M21" s="361" t="inlineStr">
        <x:is>
          <x:t xml:space="preserve">N/A</x:t>
        </x:is>
      </x:c>
      <x:c r="N21" s="361" t="inlineStr">
        <x:is>
          <x:t xml:space="preserve">0325GrayStorm</x:t>
        </x:is>
      </x:c>
      <x:c r="O21" s="367" t="inlineStr">
        <x:is>
          <x:t xml:space="preserve">Pass</x:t>
        </x:is>
      </x:c>
      <x:c r="P21" s="368" t="inlineStr">
        <x:is>
          <x:t xml:space="preserve">Not Listed</x:t>
        </x:is>
      </x:c>
      <x:c r="Q21" s="372" t="inlineStr">
        <x:is>
          <x:t xml:space="preserve">Gray</x:t>
        </x:is>
      </x:c>
      <x:c r="R21" s="361" t="inlineStr">
        <x:is>
          <x:t xml:space="preserve">Cap color copied from COA/batch descriptor: 0325GrayStorm.</x:t>
        </x:is>
      </x:c>
      <x:c r="S21" s="361" t="inlineStr">
        <x:is>
          <x:t xml:space="preserve">40 mg label; 116.4% potency</x:t>
        </x:is>
      </x:c>
    </x:row>
    <x:row r="22">
      <x:c r="A22" s="361" t="inlineStr">
        <x:is>
          <x:t xml:space="preserve">COA-0009</x:t>
        </x:is>
      </x:c>
      <x:c r="B22" s="361" t="inlineStr">
        <x:is>
          <x:t xml:space="preserve">Tirzepatide</x:t>
        </x:is>
      </x:c>
      <x:c r="C22" s="361" t="inlineStr">
        <x:is>
          <x:t xml:space="preserve">GLP-1 / Weight</x:t>
        </x:is>
      </x:c>
      <x:c r="D22" s="361" t="n">
        <x:v>60</x:v>
      </x:c>
      <x:c r="E22" s="361" t="n">
        <x:v>65.09999999999999</x:v>
      </x:c>
      <x:c r="F22" s="361" t="n">
        <x:v>5.099999999999994</x:v>
      </x:c>
      <x:c r="G22" s="361" t="n">
        <x:v>0.08499999999999991</x:v>
      </x:c>
      <x:c r="H22" s="361" t="n">
        <x:v>99.8</x:v>
      </x:c>
      <x:c r="I22" s="365" t="inlineStr">
        <x:is>
          <x:t xml:space="preserve">Overfilled</x:t>
        </x:is>
      </x:c>
      <x:c r="J22" s="361" t="inlineStr">
        <x:is>
          <x:t xml:space="preserve">BT Labs</x:t>
        </x:is>
      </x:c>
      <x:c r="K22" s="379" t="n">
        <x:v>46133</x:v>
      </x:c>
      <x:c r="L22" s="361" t="inlineStr">
        <x:is>
          <x:t xml:space="preserve">IF-824-QSA-TR006-BTL26263-01</x:t>
        </x:is>
      </x:c>
      <x:c r="M22" s="361" t="inlineStr">
        <x:is>
          <x:t xml:space="preserve">N/A</x:t>
        </x:is>
      </x:c>
      <x:c r="N22" s="361" t="inlineStr">
        <x:is>
          <x:t xml:space="preserve">0426goldrush</x:t>
        </x:is>
      </x:c>
      <x:c r="O22" s="367" t="inlineStr">
        <x:is>
          <x:t xml:space="preserve">Pass</x:t>
        </x:is>
      </x:c>
      <x:c r="P22" s="368" t="inlineStr">
        <x:is>
          <x:t xml:space="preserve">Not Listed</x:t>
        </x:is>
      </x:c>
      <x:c r="Q22" s="373" t="inlineStr">
        <x:is>
          <x:t xml:space="preserve">Gold</x:t>
        </x:is>
      </x:c>
      <x:c r="R22" s="361" t="inlineStr">
        <x:is>
          <x:t xml:space="preserve">Cap color copied from COA/batch descriptor: 0426goldrush.</x:t>
        </x:is>
      </x:c>
      <x:c r="S22" s="361" t="inlineStr">
        <x:is>
          <x:t xml:space="preserve">60 mg label; 108.5% potency</x:t>
        </x:is>
      </x:c>
    </x:row>
    <x:row r="23">
      <x:c r="A23" s="361" t="inlineStr">
        <x:is>
          <x:t xml:space="preserve">COA-0010</x:t>
        </x:is>
      </x:c>
      <x:c r="B23" s="361" t="inlineStr">
        <x:is>
          <x:t xml:space="preserve">Tirzepatide</x:t>
        </x:is>
      </x:c>
      <x:c r="C23" s="361" t="inlineStr">
        <x:is>
          <x:t xml:space="preserve">GLP-1 / Weight</x:t>
        </x:is>
      </x:c>
      <x:c r="D23" s="361" t="n">
        <x:v>30</x:v>
      </x:c>
      <x:c r="E23" s="361" t="n">
        <x:v>32.5</x:v>
      </x:c>
      <x:c r="F23" s="361" t="n">
        <x:v>2.5</x:v>
      </x:c>
      <x:c r="G23" s="361" t="n">
        <x:v>0.08333333333333333</x:v>
      </x:c>
      <x:c r="H23" s="361" t="n">
        <x:v>99.84</x:v>
      </x:c>
      <x:c r="I23" s="365" t="inlineStr">
        <x:is>
          <x:t xml:space="preserve">Overfilled</x:t>
        </x:is>
      </x:c>
      <x:c r="J23" s="361" t="inlineStr">
        <x:is>
          <x:t xml:space="preserve">Janoshik</x:t>
        </x:is>
      </x:c>
      <x:c r="K23" s="379" t="n">
        <x:v>46059</x:v>
      </x:c>
      <x:c r="L23" s="361" t="inlineStr">
        <x:is>
          <x:t xml:space="preserve">#106031</x:t>
        </x:is>
      </x:c>
      <x:c r="M23" s="361" t="inlineStr">
        <x:is>
          <x:t xml:space="preserve">GH4JPK2IUTGP</x:t>
        </x:is>
      </x:c>
      <x:c r="N23" s="361" t="inlineStr">
        <x:is>
          <x:t xml:space="preserve">2026.01.26.hva16</x:t>
        </x:is>
      </x:c>
      <x:c r="O23" s="367" t="inlineStr">
        <x:is>
          <x:t xml:space="preserve">Pass</x:t>
        </x:is>
      </x:c>
      <x:c r="P23" s="368" t="inlineStr">
        <x:is>
          <x:t xml:space="preserve">Not Listed</x:t>
        </x:is>
      </x:c>
      <x:c r="Q23" s="368" t="inlineStr">
        <x:is>
          <x:t xml:space="preserve">Not Listed</x:t>
        </x:is>
      </x:c>
      <x:c r="R23" s="361" t="inlineStr">
        <x:is>
          <x:t xml:space="preserve">Crimp/cap color not listed or visible in the COA/testing record.</x:t>
        </x:is>
      </x:c>
      <x:c r="S23" s="361" t="inlineStr">
        <x:is>
          <x:t xml:space="preserve">30 mg label</x:t>
        </x:is>
      </x:c>
    </x:row>
    <x:row r="24">
      <x:c r="A24" s="361" t="inlineStr">
        <x:is>
          <x:t xml:space="preserve">COA-0011</x:t>
        </x:is>
      </x:c>
      <x:c r="B24" s="361" t="inlineStr">
        <x:is>
          <x:t xml:space="preserve">Cagrilintide</x:t>
        </x:is>
      </x:c>
      <x:c r="C24" s="361" t="inlineStr">
        <x:is>
          <x:t xml:space="preserve">GLP-1 / Weight</x:t>
        </x:is>
      </x:c>
      <x:c r="D24" s="361" t="n">
        <x:v>10</x:v>
      </x:c>
      <x:c r="E24" s="361" t="n">
        <x:v>10.47</x:v>
      </x:c>
      <x:c r="F24" s="361" t="n">
        <x:v>0.4700000000000006</x:v>
      </x:c>
      <x:c r="G24" s="361" t="n">
        <x:v>0.04700000000000006</x:v>
      </x:c>
      <x:c r="H24" s="361" t="n">
        <x:v>99.04000000000001</x:v>
      </x:c>
      <x:c r="I24" s="369" t="inlineStr">
        <x:is>
          <x:t xml:space="preserve">On label</x:t>
        </x:is>
      </x:c>
      <x:c r="J24" s="361" t="inlineStr">
        <x:is>
          <x:t xml:space="preserve">Janoshik</x:t>
        </x:is>
      </x:c>
      <x:c r="K24" s="379" t="n">
        <x:v>46155</x:v>
      </x:c>
      <x:c r="L24" s="361" t="inlineStr">
        <x:is>
          <x:t xml:space="preserve">#155157</x:t>
        </x:is>
      </x:c>
      <x:c r="M24" s="361" t="inlineStr">
        <x:is>
          <x:t xml:space="preserve">YEM8I1Y94JVT</x:t>
        </x:is>
      </x:c>
      <x:c r="N24" s="361" t="inlineStr">
        <x:is>
          <x:t xml:space="preserve">260425</x:t>
        </x:is>
      </x:c>
      <x:c r="O24" s="367" t="inlineStr">
        <x:is>
          <x:t xml:space="preserve">Pass</x:t>
        </x:is>
      </x:c>
      <x:c r="P24" s="368" t="inlineStr">
        <x:is>
          <x:t xml:space="preserve">Not Listed</x:t>
        </x:is>
      </x:c>
      <x:c r="Q24" s="368" t="inlineStr">
        <x:is>
          <x:t xml:space="preserve">Not Listed</x:t>
        </x:is>
      </x:c>
      <x:c r="R24" s="361" t="inlineStr">
        <x:is>
          <x:t xml:space="preserve">Crimp/cap color not listed or visible in the COA/testing record.</x:t>
        </x:is>
      </x:c>
      <x:c r="S24" s="361" t="inlineStr">
        <x:is>
          <x:t xml:space="preserve">Overfilled</x:t>
        </x:is>
      </x:c>
    </x:row>
    <x:row r="25">
      <x:c r="A25" s="361" t="inlineStr">
        <x:is>
          <x:t xml:space="preserve">COA-0012</x:t>
        </x:is>
      </x:c>
      <x:c r="B25" s="361" t="inlineStr">
        <x:is>
          <x:t xml:space="preserve">AOD-9604</x:t>
        </x:is>
      </x:c>
      <x:c r="C25" s="361" t="inlineStr">
        <x:is>
          <x:t xml:space="preserve">Metabolic / Fat Loss</x:t>
        </x:is>
      </x:c>
      <x:c r="D25" s="361" t="n">
        <x:v>5</x:v>
      </x:c>
      <x:c r="E25" s="361" t="n">
        <x:v>5.95</x:v>
      </x:c>
      <x:c r="F25" s="361" t="n">
        <x:v>0.9500000000000002</x:v>
      </x:c>
      <x:c r="G25" s="361" t="n">
        <x:v>0.19</x:v>
      </x:c>
      <x:c r="H25" s="361" t="n">
        <x:v>99.883</x:v>
      </x:c>
      <x:c r="I25" s="365" t="inlineStr">
        <x:is>
          <x:t xml:space="preserve">Overfilled</x:t>
        </x:is>
      </x:c>
      <x:c r="J25" s="361" t="inlineStr">
        <x:is>
          <x:t xml:space="preserve">Janoshik</x:t>
        </x:is>
      </x:c>
      <x:c r="K25" s="379" t="n">
        <x:v>46156</x:v>
      </x:c>
      <x:c r="L25" s="361" t="inlineStr">
        <x:is>
          <x:t xml:space="preserve">#155207</x:t>
        </x:is>
      </x:c>
      <x:c r="M25" s="361" t="inlineStr">
        <x:is>
          <x:t xml:space="preserve">R61XS7CAKNZS</x:t>
        </x:is>
      </x:c>
      <x:c r="N25" s="361" t="inlineStr">
        <x:is>
          <x:t xml:space="preserve">260425</x:t>
        </x:is>
      </x:c>
      <x:c r="O25" s="367" t="inlineStr">
        <x:is>
          <x:t xml:space="preserve">Pass</x:t>
        </x:is>
      </x:c>
      <x:c r="P25" s="368" t="inlineStr">
        <x:is>
          <x:t xml:space="preserve">Not Listed</x:t>
        </x:is>
      </x:c>
      <x:c r="Q25" s="368" t="inlineStr">
        <x:is>
          <x:t xml:space="preserve">Not Listed</x:t>
        </x:is>
      </x:c>
      <x:c r="R25" s="361" t="inlineStr">
        <x:is>
          <x:t xml:space="preserve">Crimp/cap color not listed or visible in the COA/testing record.</x:t>
        </x:is>
      </x:c>
      <x:c r="S25" s="361" t="inlineStr">
        <x:is>
          <x:t xml:space="preserve">rHGH fragment / AOD-9604</x:t>
        </x:is>
      </x:c>
    </x:row>
    <x:row r="26">
      <x:c r="A26" s="361" t="inlineStr">
        <x:is>
          <x:t xml:space="preserve">COA-0013</x:t>
        </x:is>
      </x:c>
      <x:c r="B26" s="361" t="inlineStr">
        <x:is>
          <x:t xml:space="preserve">MOTS-C</x:t>
        </x:is>
      </x:c>
      <x:c r="C26" s="361" t="inlineStr">
        <x:is>
          <x:t xml:space="preserve">Metabolic / Mito</x:t>
        </x:is>
      </x:c>
      <x:c r="D26" s="361" t="n">
        <x:v>10</x:v>
      </x:c>
      <x:c r="E26" s="361" t="n">
        <x:v>10.58</x:v>
      </x:c>
      <x:c r="F26" s="361" t="n">
        <x:v>0.5800000000000001</x:v>
      </x:c>
      <x:c r="G26" s="361" t="n">
        <x:v>0.05800000000000001</x:v>
      </x:c>
      <x:c r="H26" s="361" t="n">
        <x:v>99.84699999999999</x:v>
      </x:c>
      <x:c r="I26" s="365" t="inlineStr">
        <x:is>
          <x:t xml:space="preserve">Overfilled</x:t>
        </x:is>
      </x:c>
      <x:c r="J26" s="361" t="inlineStr">
        <x:is>
          <x:t xml:space="preserve">Janoshik</x:t>
        </x:is>
      </x:c>
      <x:c r="K26" s="379" t="n">
        <x:v>46057</x:v>
      </x:c>
      <x:c r="L26" s="361" t="inlineStr">
        <x:is>
          <x:t xml:space="preserve">#105204</x:t>
        </x:is>
      </x:c>
      <x:c r="M26" s="361" t="inlineStr">
        <x:is>
          <x:t xml:space="preserve">PZAGRTQCMKEN</x:t>
        </x:is>
      </x:c>
      <x:c r="N26" s="361" t="inlineStr">
        <x:is>
          <x:t xml:space="preserve">2026.01.26.hva16</x:t>
        </x:is>
      </x:c>
      <x:c r="O26" s="367" t="inlineStr">
        <x:is>
          <x:t xml:space="preserve">Pass</x:t>
        </x:is>
      </x:c>
      <x:c r="P26" s="368" t="inlineStr">
        <x:is>
          <x:t xml:space="preserve">Not Listed</x:t>
        </x:is>
      </x:c>
      <x:c r="Q26" s="368" t="inlineStr">
        <x:is>
          <x:t xml:space="preserve">Not Listed</x:t>
        </x:is>
      </x:c>
      <x:c r="R26" s="361" t="inlineStr">
        <x:is>
          <x:t xml:space="preserve">Crimp/cap color not listed or visible in the COA/testing record.</x:t>
        </x:is>
      </x:c>
      <x:c r="S26" s="361" t="inlineStr">
        <x:is>
          <x:t xml:space="preserve">10 mg label</x:t>
        </x:is>
      </x:c>
    </x:row>
    <x:row r="27">
      <x:c r="A27" s="361" t="inlineStr">
        <x:is>
          <x:t xml:space="preserve">COA-0014</x:t>
        </x:is>
      </x:c>
      <x:c r="B27" s="361" t="inlineStr">
        <x:is>
          <x:t xml:space="preserve">MOTS-C</x:t>
        </x:is>
      </x:c>
      <x:c r="C27" s="361" t="inlineStr">
        <x:is>
          <x:t xml:space="preserve">Metabolic / Mito</x:t>
        </x:is>
      </x:c>
      <x:c r="D27" s="361" t="n">
        <x:v>10</x:v>
      </x:c>
      <x:c r="E27" s="361" t="n">
        <x:v>11.17</x:v>
      </x:c>
      <x:c r="F27" s="361" t="n">
        <x:v>1.17</x:v>
      </x:c>
      <x:c r="G27" s="361" t="n">
        <x:v>0.117</x:v>
      </x:c>
      <x:c r="H27" s="361" t="n">
        <x:v>99.05500000000001</x:v>
      </x:c>
      <x:c r="I27" s="365" t="inlineStr">
        <x:is>
          <x:t xml:space="preserve">Overfilled</x:t>
        </x:is>
      </x:c>
      <x:c r="J27" s="361" t="inlineStr">
        <x:is>
          <x:t xml:space="preserve">Janoshik</x:t>
        </x:is>
      </x:c>
      <x:c r="K27" s="379" t="n">
        <x:v>46155</x:v>
      </x:c>
      <x:c r="L27" s="361" t="inlineStr">
        <x:is>
          <x:t xml:space="preserve">#155147</x:t>
        </x:is>
      </x:c>
      <x:c r="M27" s="361" t="inlineStr">
        <x:is>
          <x:t xml:space="preserve">UVM6E4JHM32H</x:t>
        </x:is>
      </x:c>
      <x:c r="N27" s="361" t="inlineStr">
        <x:is>
          <x:t xml:space="preserve">260425</x:t>
        </x:is>
      </x:c>
      <x:c r="O27" s="367" t="inlineStr">
        <x:is>
          <x:t xml:space="preserve">Pass</x:t>
        </x:is>
      </x:c>
      <x:c r="P27" s="368" t="inlineStr">
        <x:is>
          <x:t xml:space="preserve">Not Listed</x:t>
        </x:is>
      </x:c>
      <x:c r="Q27" s="368" t="inlineStr">
        <x:is>
          <x:t xml:space="preserve">Not Listed</x:t>
        </x:is>
      </x:c>
      <x:c r="R27" s="361" t="inlineStr">
        <x:is>
          <x:t xml:space="preserve">Crimp/cap color not listed or visible in the COA/testing record.</x:t>
        </x:is>
      </x:c>
      <x:c r="S27" s="361" t="inlineStr">
        <x:is>
          <x:t xml:space="preserve">MS10 / MOTS-C</x:t>
        </x:is>
      </x:c>
    </x:row>
    <x:row r="28">
      <x:c r="A28" s="361" t="inlineStr">
        <x:is>
          <x:t xml:space="preserve">COA-0015</x:t>
        </x:is>
      </x:c>
      <x:c r="B28" s="361" t="inlineStr">
        <x:is>
          <x:t xml:space="preserve">MOTS-C</x:t>
        </x:is>
      </x:c>
      <x:c r="C28" s="361" t="inlineStr">
        <x:is>
          <x:t xml:space="preserve">Metabolic / Mito</x:t>
        </x:is>
      </x:c>
      <x:c r="D28" s="361" t="n">
        <x:v>40</x:v>
      </x:c>
      <x:c r="E28" s="361" t="n">
        <x:v>38.96</x:v>
      </x:c>
      <x:c r="F28" s="361" t="n">
        <x:v>-1.039999999999999</x:v>
      </x:c>
      <x:c r="G28" s="361" t="n">
        <x:v>-0.02599999999999998</x:v>
      </x:c>
      <x:c r="H28" s="361" t="n">
        <x:v>99.813</x:v>
      </x:c>
      <x:c r="I28" s="369" t="inlineStr">
        <x:is>
          <x:t xml:space="preserve">On label</x:t>
        </x:is>
      </x:c>
      <x:c r="J28" s="361" t="inlineStr">
        <x:is>
          <x:t xml:space="preserve">Janoshik</x:t>
        </x:is>
      </x:c>
      <x:c r="K28" s="379" t="n">
        <x:v>46057</x:v>
      </x:c>
      <x:c r="L28" s="361" t="inlineStr">
        <x:is>
          <x:t xml:space="preserve">#105209</x:t>
        </x:is>
      </x:c>
      <x:c r="M28" s="361" t="inlineStr">
        <x:is>
          <x:t xml:space="preserve">EZVSKIKKLCI2</x:t>
        </x:is>
      </x:c>
      <x:c r="N28" s="361" t="inlineStr">
        <x:is>
          <x:t xml:space="preserve">2026.01.26.hva16</x:t>
        </x:is>
      </x:c>
      <x:c r="O28" s="367" t="inlineStr">
        <x:is>
          <x:t xml:space="preserve">Pass</x:t>
        </x:is>
      </x:c>
      <x:c r="P28" s="368" t="inlineStr">
        <x:is>
          <x:t xml:space="preserve">Not Listed</x:t>
        </x:is>
      </x:c>
      <x:c r="Q28" s="368" t="inlineStr">
        <x:is>
          <x:t xml:space="preserve">Not Listed</x:t>
        </x:is>
      </x:c>
      <x:c r="R28" s="361" t="inlineStr">
        <x:is>
          <x:t xml:space="preserve">Crimp/cap color not listed or visible in the COA/testing record.</x:t>
        </x:is>
      </x:c>
      <x:c r="S28" s="361" t="inlineStr">
        <x:is>
          <x:t xml:space="preserve">40 mg label</x:t>
        </x:is>
      </x:c>
    </x:row>
    <x:row r="29">
      <x:c r="A29" s="361" t="inlineStr">
        <x:is>
          <x:t xml:space="preserve">COA-0016</x:t>
        </x:is>
      </x:c>
      <x:c r="B29" s="361" t="inlineStr">
        <x:is>
          <x:t xml:space="preserve">TB-500</x:t>
        </x:is>
      </x:c>
      <x:c r="C29" s="361" t="inlineStr">
        <x:is>
          <x:t xml:space="preserve">Healing / Recovery</x:t>
        </x:is>
      </x:c>
      <x:c r="D29" s="361" t="n">
        <x:v>10</x:v>
      </x:c>
      <x:c r="E29" s="361" t="n">
        <x:v>11.38</x:v>
      </x:c>
      <x:c r="F29" s="361" t="n">
        <x:v>1.380000000000001</x:v>
      </x:c>
      <x:c r="G29" s="361" t="n">
        <x:v>0.1380000000000001</x:v>
      </x:c>
      <x:c r="H29" s="361" t="n">
        <x:v>99.08499999999999</x:v>
      </x:c>
      <x:c r="I29" s="365" t="inlineStr">
        <x:is>
          <x:t xml:space="preserve">Overfilled</x:t>
        </x:is>
      </x:c>
      <x:c r="J29" s="361" t="inlineStr">
        <x:is>
          <x:t xml:space="preserve">Janoshik</x:t>
        </x:is>
      </x:c>
      <x:c r="K29" s="379" t="n">
        <x:v>46155</x:v>
      </x:c>
      <x:c r="L29" s="361" t="inlineStr">
        <x:is>
          <x:t xml:space="preserve">#155187</x:t>
        </x:is>
      </x:c>
      <x:c r="M29" s="361" t="inlineStr">
        <x:is>
          <x:t xml:space="preserve">C4ZL757CFGFN</x:t>
        </x:is>
      </x:c>
      <x:c r="N29" s="361" t="inlineStr">
        <x:is>
          <x:t xml:space="preserve">260425</x:t>
        </x:is>
      </x:c>
      <x:c r="O29" s="367" t="inlineStr">
        <x:is>
          <x:t xml:space="preserve">Pass</x:t>
        </x:is>
      </x:c>
      <x:c r="P29" s="368" t="inlineStr">
        <x:is>
          <x:t xml:space="preserve">Not Listed</x:t>
        </x:is>
      </x:c>
      <x:c r="Q29" s="368" t="inlineStr">
        <x:is>
          <x:t xml:space="preserve">Not Listed</x:t>
        </x:is>
      </x:c>
      <x:c r="R29" s="361" t="inlineStr">
        <x:is>
          <x:t xml:space="preserve">Crimp/cap color not listed or visible in the COA/testing record.</x:t>
        </x:is>
      </x:c>
      <x:c r="S29" s="361" t="inlineStr">
        <x:is>
          <x:t xml:space="preserve">TB-500 / TB4</x:t>
        </x:is>
      </x:c>
    </x:row>
    <x:row r="30">
      <x:c r="A30" s="361" t="inlineStr">
        <x:is>
          <x:t xml:space="preserve">COA-0017</x:t>
        </x:is>
      </x:c>
      <x:c r="B30" s="361" t="inlineStr">
        <x:is>
          <x:t xml:space="preserve">BPC-157</x:t>
        </x:is>
      </x:c>
      <x:c r="C30" s="361" t="inlineStr">
        <x:is>
          <x:t xml:space="preserve">Healing / Recovery</x:t>
        </x:is>
      </x:c>
      <x:c r="D30" s="361" t="n">
        <x:v>5</x:v>
      </x:c>
      <x:c r="E30" s="361" t="n">
        <x:v>5.54</x:v>
      </x:c>
      <x:c r="F30" s="361" t="n">
        <x:v>0.54</x:v>
      </x:c>
      <x:c r="G30" s="361" t="n">
        <x:v>0.108</x:v>
      </x:c>
      <x:c r="H30" s="361" t="n"/>
      <x:c r="I30" s="365" t="inlineStr">
        <x:is>
          <x:t xml:space="preserve">Overfilled</x:t>
        </x:is>
      </x:c>
      <x:c r="J30" s="361" t="inlineStr">
        <x:is>
          <x:t xml:space="preserve">Janoshik</x:t>
        </x:is>
      </x:c>
      <x:c r="K30" s="379" t="n">
        <x:v>46057</x:v>
      </x:c>
      <x:c r="L30" s="361" t="inlineStr">
        <x:is>
          <x:t xml:space="preserve">#105138</x:t>
        </x:is>
      </x:c>
      <x:c r="M30" s="361" t="inlineStr">
        <x:is>
          <x:t xml:space="preserve">LIE4Z88FYGXC</x:t>
        </x:is>
      </x:c>
      <x:c r="N30" s="361" t="inlineStr">
        <x:is>
          <x:t xml:space="preserve">2026.01.26.hva16</x:t>
        </x:is>
      </x:c>
      <x:c r="O30" s="367" t="inlineStr">
        <x:is>
          <x:t xml:space="preserve">Pass</x:t>
        </x:is>
      </x:c>
      <x:c r="P30" s="368" t="inlineStr">
        <x:is>
          <x:t xml:space="preserve">Not Listed</x:t>
        </x:is>
      </x:c>
      <x:c r="Q30" s="368" t="inlineStr">
        <x:is>
          <x:t xml:space="preserve">Not Listed</x:t>
        </x:is>
      </x:c>
      <x:c r="R30" s="361" t="inlineStr">
        <x:is>
          <x:t xml:space="preserve">Crimp/cap color not listed or visible in the COA/testing record.</x:t>
        </x:is>
      </x:c>
      <x:c r="S30" s="361" t="inlineStr">
        <x:is>
          <x:t xml:space="preserve">Blend report BPC5+TB5</x:t>
        </x:is>
      </x:c>
    </x:row>
    <x:row r="31">
      <x:c r="A31" s="361" t="inlineStr">
        <x:is>
          <x:t xml:space="preserve">COA-0018</x:t>
        </x:is>
      </x:c>
      <x:c r="B31" s="361" t="inlineStr">
        <x:is>
          <x:t xml:space="preserve">TB-500</x:t>
        </x:is>
      </x:c>
      <x:c r="C31" s="361" t="inlineStr">
        <x:is>
          <x:t xml:space="preserve">Healing / Recovery</x:t>
        </x:is>
      </x:c>
      <x:c r="D31" s="361" t="n">
        <x:v>5</x:v>
      </x:c>
      <x:c r="E31" s="361" t="n">
        <x:v>5.43</x:v>
      </x:c>
      <x:c r="F31" s="361" t="n">
        <x:v>0.4299999999999997</x:v>
      </x:c>
      <x:c r="G31" s="361" t="n">
        <x:v>0.08599999999999994</x:v>
      </x:c>
      <x:c r="H31" s="361" t="n"/>
      <x:c r="I31" s="369" t="inlineStr">
        <x:is>
          <x:t xml:space="preserve">On label</x:t>
        </x:is>
      </x:c>
      <x:c r="J31" s="361" t="inlineStr">
        <x:is>
          <x:t xml:space="preserve">Janoshik</x:t>
        </x:is>
      </x:c>
      <x:c r="K31" s="379" t="n">
        <x:v>46057</x:v>
      </x:c>
      <x:c r="L31" s="361" t="inlineStr">
        <x:is>
          <x:t xml:space="preserve">#105138</x:t>
        </x:is>
      </x:c>
      <x:c r="M31" s="361" t="inlineStr">
        <x:is>
          <x:t xml:space="preserve">LIE4Z88FYGXC</x:t>
        </x:is>
      </x:c>
      <x:c r="N31" s="361" t="inlineStr">
        <x:is>
          <x:t xml:space="preserve">2026.01.26.hva16</x:t>
        </x:is>
      </x:c>
      <x:c r="O31" s="367" t="inlineStr">
        <x:is>
          <x:t xml:space="preserve">Pass</x:t>
        </x:is>
      </x:c>
      <x:c r="P31" s="368" t="inlineStr">
        <x:is>
          <x:t xml:space="preserve">Not Listed</x:t>
        </x:is>
      </x:c>
      <x:c r="Q31" s="368" t="inlineStr">
        <x:is>
          <x:t xml:space="preserve">Not Listed</x:t>
        </x:is>
      </x:c>
      <x:c r="R31" s="361" t="inlineStr">
        <x:is>
          <x:t xml:space="preserve">Crimp/cap color not listed or visible in the COA/testing record.</x:t>
        </x:is>
      </x:c>
      <x:c r="S31" s="361" t="inlineStr">
        <x:is>
          <x:t xml:space="preserve">Blend report BPC5+TB5</x:t>
        </x:is>
      </x:c>
    </x:row>
    <x:row r="32">
      <x:c r="A32" s="361" t="inlineStr">
        <x:is>
          <x:t xml:space="preserve">COA-0019</x:t>
        </x:is>
      </x:c>
      <x:c r="B32" s="361" t="inlineStr">
        <x:is>
          <x:t xml:space="preserve">SS-31</x:t>
        </x:is>
      </x:c>
      <x:c r="C32" s="361" t="inlineStr">
        <x:is>
          <x:t xml:space="preserve">Metabolic / Mito</x:t>
        </x:is>
      </x:c>
      <x:c r="D32" s="361" t="n">
        <x:v>10</x:v>
      </x:c>
      <x:c r="E32" s="361" t="n">
        <x:v>8.880000000000001</x:v>
      </x:c>
      <x:c r="F32" s="361" t="n">
        <x:v>-1.119999999999999</x:v>
      </x:c>
      <x:c r="G32" s="361" t="n">
        <x:v>-0.1119999999999999</x:v>
      </x:c>
      <x:c r="H32" s="361" t="n">
        <x:v>99.95</x:v>
      </x:c>
      <x:c r="I32" s="374" t="inlineStr">
        <x:is>
          <x:t xml:space="preserve">Underfilled</x:t>
        </x:is>
      </x:c>
      <x:c r="J32" s="361" t="inlineStr">
        <x:is>
          <x:t xml:space="preserve">Janoshik</x:t>
        </x:is>
      </x:c>
      <x:c r="K32" s="379" t="n">
        <x:v>46155</x:v>
      </x:c>
      <x:c r="L32" s="361" t="inlineStr">
        <x:is>
          <x:t xml:space="preserve">#155177</x:t>
        </x:is>
      </x:c>
      <x:c r="M32" s="361" t="inlineStr">
        <x:is>
          <x:t xml:space="preserve">ZBCG537ZYEN9</x:t>
        </x:is>
      </x:c>
      <x:c r="N32" s="361" t="inlineStr">
        <x:is>
          <x:t xml:space="preserve">260425</x:t>
        </x:is>
      </x:c>
      <x:c r="O32" s="367" t="inlineStr">
        <x:is>
          <x:t xml:space="preserve">Pass</x:t>
        </x:is>
      </x:c>
      <x:c r="P32" s="368" t="inlineStr">
        <x:is>
          <x:t xml:space="preserve">Not Listed</x:t>
        </x:is>
      </x:c>
      <x:c r="Q32" s="368" t="inlineStr">
        <x:is>
          <x:t xml:space="preserve">Not Listed</x:t>
        </x:is>
      </x:c>
      <x:c r="R32" s="361" t="inlineStr">
        <x:is>
          <x:t xml:space="preserve">Crimp/cap color not listed or visible in the COA/testing record.</x:t>
        </x:is>
      </x:c>
      <x:c r="S32" s="361" t="inlineStr">
        <x:is>
          <x:t xml:space="preserve">Elamipretide; tested twice</x:t>
        </x:is>
      </x:c>
    </x:row>
    <x:row r="33">
      <x:c r="A33" s="361" t="inlineStr">
        <x:is>
          <x:t xml:space="preserve">COA-0020</x:t>
        </x:is>
      </x:c>
      <x:c r="B33" s="361" t="inlineStr">
        <x:is>
          <x:t xml:space="preserve">KPV</x:t>
        </x:is>
      </x:c>
      <x:c r="C33" s="361" t="inlineStr">
        <x:is>
          <x:t xml:space="preserve">Other</x:t>
        </x:is>
      </x:c>
      <x:c r="D33" s="361" t="n">
        <x:v>10</x:v>
      </x:c>
      <x:c r="E33" s="361" t="n">
        <x:v>12.19</x:v>
      </x:c>
      <x:c r="F33" s="361" t="n">
        <x:v>2.19</x:v>
      </x:c>
      <x:c r="G33" s="361" t="n">
        <x:v>0.2189999999999999</x:v>
      </x:c>
      <x:c r="H33" s="361" t="n">
        <x:v>99.589</x:v>
      </x:c>
      <x:c r="I33" s="365" t="inlineStr">
        <x:is>
          <x:t xml:space="preserve">Overfilled</x:t>
        </x:is>
      </x:c>
      <x:c r="J33" s="361" t="inlineStr">
        <x:is>
          <x:t xml:space="preserve">Janoshik</x:t>
        </x:is>
      </x:c>
      <x:c r="K33" s="379" t="n">
        <x:v>46057</x:v>
      </x:c>
      <x:c r="L33" s="361" t="inlineStr">
        <x:is>
          <x:t xml:space="preserve">#105219</x:t>
        </x:is>
      </x:c>
      <x:c r="M33" s="361" t="inlineStr">
        <x:is>
          <x:t xml:space="preserve">ZR7I3B74I9KC</x:t>
        </x:is>
      </x:c>
      <x:c r="N33" s="361" t="inlineStr">
        <x:is>
          <x:t xml:space="preserve">2026.01.26.hva16</x:t>
        </x:is>
      </x:c>
      <x:c r="O33" s="367" t="inlineStr">
        <x:is>
          <x:t xml:space="preserve">Pass</x:t>
        </x:is>
      </x:c>
      <x:c r="P33" s="368" t="inlineStr">
        <x:is>
          <x:t xml:space="preserve">Not Listed</x:t>
        </x:is>
      </x:c>
      <x:c r="Q33" s="368" t="inlineStr">
        <x:is>
          <x:t xml:space="preserve">Not Listed</x:t>
        </x:is>
      </x:c>
      <x:c r="R33" s="361" t="inlineStr">
        <x:is>
          <x:t xml:space="preserve">Crimp/cap color not listed or visible in the COA/testing record.</x:t>
        </x:is>
      </x:c>
      <x:c r="S33" s="361" t="inlineStr">
        <x:is>
          <x:t xml:space="preserve">Overfilled</x:t>
        </x:is>
      </x:c>
    </x:row>
    <x:row r="34">
      <x:c r="A34" s="361" t="inlineStr">
        <x:is>
          <x:t xml:space="preserve">COA-0021</x:t>
        </x:is>
      </x:c>
      <x:c r="B34" s="361" t="inlineStr">
        <x:is>
          <x:t xml:space="preserve">CJC-1295 No DAC</x:t>
        </x:is>
      </x:c>
      <x:c r="C34" s="361" t="inlineStr">
        <x:is>
          <x:t xml:space="preserve">Growth Hormone Support</x:t>
        </x:is>
      </x:c>
      <x:c r="D34" s="361" t="n">
        <x:v>10</x:v>
      </x:c>
      <x:c r="E34" s="361" t="n">
        <x:v>9.66</x:v>
      </x:c>
      <x:c r="F34" s="361" t="n">
        <x:v>-0.3399999999999999</x:v>
      </x:c>
      <x:c r="G34" s="361" t="n">
        <x:v>-0.03399999999999999</x:v>
      </x:c>
      <x:c r="H34" s="361" t="n">
        <x:v>99.89700000000001</x:v>
      </x:c>
      <x:c r="I34" s="369" t="inlineStr">
        <x:is>
          <x:t xml:space="preserve">On label</x:t>
        </x:is>
      </x:c>
      <x:c r="J34" s="361" t="inlineStr">
        <x:is>
          <x:t xml:space="preserve">Janoshik</x:t>
        </x:is>
      </x:c>
      <x:c r="K34" s="379" t="n">
        <x:v>46156</x:v>
      </x:c>
      <x:c r="L34" s="361" t="inlineStr">
        <x:is>
          <x:t xml:space="preserve">#155197</x:t>
        </x:is>
      </x:c>
      <x:c r="M34" s="361" t="inlineStr">
        <x:is>
          <x:t xml:space="preserve">TK4BPAPZF2HC</x:t>
        </x:is>
      </x:c>
      <x:c r="N34" s="361" t="inlineStr">
        <x:is>
          <x:t xml:space="preserve">260425</x:t>
        </x:is>
      </x:c>
      <x:c r="O34" s="367" t="inlineStr">
        <x:is>
          <x:t xml:space="preserve">Pass</x:t>
        </x:is>
      </x:c>
      <x:c r="P34" s="368" t="inlineStr">
        <x:is>
          <x:t xml:space="preserve">Not Listed</x:t>
        </x:is>
      </x:c>
      <x:c r="Q34" s="368" t="inlineStr">
        <x:is>
          <x:t xml:space="preserve">Not Listed</x:t>
        </x:is>
      </x:c>
      <x:c r="R34" s="361" t="inlineStr">
        <x:is>
          <x:t xml:space="preserve">Crimp/cap color not listed or visible in the COA/testing record.</x:t>
        </x:is>
      </x:c>
      <x:c r="S34" s="361" t="inlineStr">
        <x:is>
          <x:t xml:space="preserve">Mod GRF 1-29</x:t>
        </x:is>
      </x:c>
    </x:row>
    <x:row r="35">
      <x:c r="A35" s="361" t="inlineStr">
        <x:is>
          <x:t xml:space="preserve">COA-0022</x:t>
        </x:is>
      </x:c>
      <x:c r="B35" s="361" t="inlineStr">
        <x:is>
          <x:t xml:space="preserve">Retatrutide</x:t>
        </x:is>
      </x:c>
      <x:c r="C35" s="361" t="inlineStr">
        <x:is>
          <x:t xml:space="preserve">GLP-1 / Weight</x:t>
        </x:is>
      </x:c>
      <x:c r="D35" s="361" t="n">
        <x:v>30</x:v>
      </x:c>
      <x:c r="E35" s="361" t="n">
        <x:v>34.77</x:v>
      </x:c>
      <x:c r="F35" s="361" t="n">
        <x:v>4.770000000000003</x:v>
      </x:c>
      <x:c r="G35" s="361" t="n">
        <x:v>0.1590000000000001</x:v>
      </x:c>
      <x:c r="H35" s="361" t="n">
        <x:v>99.825</x:v>
      </x:c>
      <x:c r="I35" s="365" t="inlineStr">
        <x:is>
          <x:t xml:space="preserve">Overfilled</x:t>
        </x:is>
      </x:c>
      <x:c r="J35" s="361" t="inlineStr">
        <x:is>
          <x:t xml:space="preserve">Janoshik</x:t>
        </x:is>
      </x:c>
      <x:c r="K35" s="379" t="n">
        <x:v>46156</x:v>
      </x:c>
      <x:c r="L35" s="361" t="inlineStr">
        <x:is>
          <x:t xml:space="preserve">#155167</x:t>
        </x:is>
      </x:c>
      <x:c r="M35" s="361" t="inlineStr">
        <x:is>
          <x:t xml:space="preserve">GHCSPKL4C6CX</x:t>
        </x:is>
      </x:c>
      <x:c r="N35" s="361" t="inlineStr">
        <x:is>
          <x:t xml:space="preserve">260425</x:t>
        </x:is>
      </x:c>
      <x:c r="O35" s="367" t="inlineStr">
        <x:is>
          <x:t xml:space="preserve">Pass</x:t>
        </x:is>
      </x:c>
      <x:c r="P35" s="368" t="inlineStr">
        <x:is>
          <x:t xml:space="preserve">Not Listed</x:t>
        </x:is>
      </x:c>
      <x:c r="Q35" s="368" t="inlineStr">
        <x:is>
          <x:t xml:space="preserve">Not Listed</x:t>
        </x:is>
      </x:c>
      <x:c r="R35" s="361" t="inlineStr">
        <x:is>
          <x:t xml:space="preserve">Crimp/cap color not listed or visible in the COA/testing record.</x:t>
        </x:is>
      </x:c>
      <x:c r="S35" s="361" t="inlineStr">
        <x:is>
          <x:t xml:space="preserve">RT30 Retatrutide 30mg; common GLP-1 blind test; overfilled.</x:t>
        </x:is>
      </x:c>
    </x:row>
    <x:row r="36">
      <x:c r="A36" s="361" t="inlineStr">
        <x:is>
          <x:t xml:space="preserve">COA-0023</x:t>
        </x:is>
      </x:c>
      <x:c r="B36" s="361" t="inlineStr">
        <x:is>
          <x:t xml:space="preserve">Tirzepatide</x:t>
        </x:is>
      </x:c>
      <x:c r="C36" s="361" t="inlineStr">
        <x:is>
          <x:t xml:space="preserve">GLP-1 / Weight</x:t>
        </x:is>
      </x:c>
      <x:c r="D36" s="361" t="n">
        <x:v>15</x:v>
      </x:c>
      <x:c r="E36" s="361" t="n">
        <x:v>16.18</x:v>
      </x:c>
      <x:c r="F36" s="361" t="n">
        <x:v>1.18</x:v>
      </x:c>
      <x:c r="G36" s="361" t="n">
        <x:v>0.07866666666666665</x:v>
      </x:c>
      <x:c r="H36" s="361" t="n">
        <x:v>99.73099999999999</x:v>
      </x:c>
      <x:c r="I36" s="365" t="inlineStr">
        <x:is>
          <x:t xml:space="preserve">Overfilled</x:t>
        </x:is>
      </x:c>
      <x:c r="J36" s="361" t="inlineStr">
        <x:is>
          <x:t xml:space="preserve">Janoshik</x:t>
        </x:is>
      </x:c>
      <x:c r="K36" s="379" t="n">
        <x:v>46156</x:v>
      </x:c>
      <x:c r="L36" s="361" t="inlineStr">
        <x:is>
          <x:t xml:space="preserve">#155127</x:t>
        </x:is>
      </x:c>
      <x:c r="M36" s="361" t="inlineStr">
        <x:is>
          <x:t xml:space="preserve">PD278BSFA1D9</x:t>
        </x:is>
      </x:c>
      <x:c r="N36" s="361" t="inlineStr">
        <x:is>
          <x:t xml:space="preserve">260425</x:t>
        </x:is>
      </x:c>
      <x:c r="O36" s="367" t="inlineStr">
        <x:is>
          <x:t xml:space="preserve">Pass</x:t>
        </x:is>
      </x:c>
      <x:c r="P36" s="368" t="inlineStr">
        <x:is>
          <x:t xml:space="preserve">Not Listed</x:t>
        </x:is>
      </x:c>
      <x:c r="Q36" s="368" t="inlineStr">
        <x:is>
          <x:t xml:space="preserve">Not Listed</x:t>
        </x:is>
      </x:c>
      <x:c r="R36" s="361" t="inlineStr">
        <x:is>
          <x:t xml:space="preserve">Crimp/cap color not listed or visible in the COA/testing record.</x:t>
        </x:is>
      </x:c>
      <x:c r="S36" s="361" t="inlineStr">
        <x:is>
          <x:t xml:space="preserve">T15 Tirzepatide 15mg; common GLP-1 blind test; overfilled.</x:t>
        </x:is>
      </x:c>
    </x:row>
    <x:row r="37">
      <x:c r="A37" s="361" t="inlineStr">
        <x:is>
          <x:t xml:space="preserve">COA-0024</x:t>
        </x:is>
      </x:c>
      <x:c r="B37" s="361" t="inlineStr">
        <x:is>
          <x:t xml:space="preserve">Retatrutide</x:t>
        </x:is>
      </x:c>
      <x:c r="C37" s="361" t="inlineStr">
        <x:is>
          <x:t xml:space="preserve">GLP-1 / Weight</x:t>
        </x:is>
      </x:c>
      <x:c r="D37" s="361" t="n">
        <x:v>20</x:v>
      </x:c>
      <x:c r="E37" s="361" t="n">
        <x:v>22.47</x:v>
      </x:c>
      <x:c r="F37" s="361" t="n">
        <x:v>2.469999999999999</x:v>
      </x:c>
      <x:c r="G37" s="361" t="n">
        <x:v>0.1234999999999999</x:v>
      </x:c>
      <x:c r="H37" s="361" t="n">
        <x:v>99.86</x:v>
      </x:c>
      <x:c r="I37" s="365" t="inlineStr">
        <x:is>
          <x:t xml:space="preserve">Overfilled</x:t>
        </x:is>
      </x:c>
      <x:c r="J37" s="361" t="inlineStr">
        <x:is>
          <x:t xml:space="preserve">Freedom Diagnostics</x:t>
        </x:is>
      </x:c>
      <x:c r="K37" s="361" t="inlineStr">
        <x:is>
          <x:t xml:space="preserve">2026-06-14</x:t>
        </x:is>
      </x:c>
      <x:c r="L37" s="361" t="inlineStr">
        <x:is>
          <x:t xml:space="preserve">Redacted</x:t>
        </x:is>
      </x:c>
      <x:c r="M37" s="361" t="inlineStr">
        <x:is>
          <x:t xml:space="preserve">N/A</x:t>
        </x:is>
      </x:c>
      <x:c r="N37" s="361" t="inlineStr">
        <x:is>
          <x:t xml:space="preserve">Freedom-RT20-20260614-ClearGreen</x:t>
        </x:is>
      </x:c>
      <x:c r="O37" s="367" t="inlineStr">
        <x:is>
          <x:t xml:space="preserve">Pass</x:t>
        </x:is>
      </x:c>
      <x:c r="P37" s="368" t="inlineStr">
        <x:is>
          <x:t xml:space="preserve">Not Listed</x:t>
        </x:is>
      </x:c>
      <x:c r="Q37" s="375" t="inlineStr">
        <x:is>
          <x:t xml:space="preserve">Clear Green</x:t>
        </x:is>
      </x:c>
      <x:c r="R37" s="361" t="inlineStr">
        <x:is>
          <x:t xml:space="preserve">Clear green cap per COA image</x:t>
        </x:is>
      </x:c>
      <x:c r="S37" s="361" t="inlineStr">
        <x:is>
          <x:t xml:space="preserve">Retatrutide 20mg, separate batch from existing Retatrutide records; received 06/11/2026, reported 06/14/2026.</x:t>
        </x:is>
      </x:c>
    </x:row>
  </x:sheetData>
  <x:mergeCells>
    <x:mergeCell ref="A1:S1"/>
  </x:mergeCells>
  <x:conditionalFormatting sqref="I10:I30">
    <x:cfRule type="expression" dxfId="0" priority="1">
      <x:formula>I10="Overfilled"</x:formula>
    </x:cfRule>
    <x:cfRule type="expression" dxfId="1" priority="2">
      <x:formula>I10="Underfilled"</x:formula>
    </x:cfRule>
    <x:cfRule type="expression" dxfId="2" priority="3">
      <x:formula>I10="On label"</x:formula>
    </x:cfRule>
    <x:cfRule type="expression" dxfId="3" priority="4">
      <x:formula>I10="Review"</x:formula>
    </x:cfRule>
  </x:conditionalFormatting>
  <x:conditionalFormatting sqref="Q10:Q30">
    <x:cfRule type="expression" dxfId="4" priority="5">
      <x:formula>Q10="Pass"</x:formula>
    </x:cfRule>
    <x:cfRule type="expression" dxfId="5" priority="6">
      <x:formula>Q10="Fail"</x:formula>
    </x:cfRule>
  </x:conditionalFormatting>
  <x:conditionalFormatting sqref="T10:T30">
    <x:cfRule type="expression" dxfId="6" priority="7">
      <x:formula>$T10="Black"</x:formula>
    </x:cfRule>
    <x:cfRule type="expression" dxfId="7" priority="8">
      <x:formula>$T10="Blue"</x:formula>
    </x:cfRule>
    <x:cfRule type="expression" dxfId="8" priority="9">
      <x:formula>$T10="Red"</x:formula>
    </x:cfRule>
    <x:cfRule type="expression" dxfId="9" priority="10">
      <x:formula>$T10="Green"</x:formula>
    </x:cfRule>
    <x:cfRule type="expression" dxfId="10" priority="11">
      <x:formula>$T10="Purple"</x:formula>
    </x:cfRule>
    <x:cfRule type="expression" dxfId="11" priority="12">
      <x:formula>$T10="Gold"</x:formula>
    </x:cfRule>
    <x:cfRule type="expression" dxfId="12" priority="13">
      <x:formula>$T10="Silver"</x:formula>
    </x:cfRule>
    <x:cfRule type="expression" dxfId="13" priority="14">
      <x:formula>$T10="White"</x:formula>
    </x:cfRule>
    <x:cfRule type="expression" dxfId="14" priority="15">
      <x:formula>$T10="Clear"</x:formula>
    </x:cfRule>
    <x:cfRule type="expression" dxfId="12" priority="16">
      <x:formula>$T10="Gray"</x:formula>
    </x:cfRule>
    <x:cfRule type="expression" dxfId="16" priority="17">
      <x:formula>$T10="Orange"</x:formula>
    </x:cfRule>
    <x:cfRule type="expression" dxfId="17" priority="18">
      <x:formula>$T10="Pink"</x:formula>
    </x:cfRule>
    <x:cfRule type="expression" dxfId="18" priority="19">
      <x:formula>$T10="Yellow"</x:formula>
    </x:cfRule>
    <x:cfRule type="expression" dxfId="19" priority="20">
      <x:formula>$T10="Teal"</x:formula>
    </x:cfRule>
    <x:cfRule type="expression" dxfId="20" priority="21">
      <x:formula>$T10="Unknown"</x:formula>
    </x:cfRule>
    <x:cfRule type="expression" dxfId="20" priority="22">
      <x:formula>$T10="Not Listed"</x:formula>
    </x:cfRule>
    <x:cfRule type="expression" dxfId="22" priority="23">
      <x:formula>$T10="Mixed/Multiple"</x:formula>
    </x:cfRule>
  </x:conditionalFormatting>
  <x:conditionalFormatting sqref="U10:U30">
    <x:cfRule type="expression" dxfId="6" priority="24">
      <x:formula>$U10="Black"</x:formula>
    </x:cfRule>
    <x:cfRule type="expression" dxfId="7" priority="25">
      <x:formula>$U10="Blue"</x:formula>
    </x:cfRule>
    <x:cfRule type="expression" dxfId="8" priority="26">
      <x:formula>$U10="Red"</x:formula>
    </x:cfRule>
    <x:cfRule type="expression" dxfId="9" priority="27">
      <x:formula>$U10="Green"</x:formula>
    </x:cfRule>
    <x:cfRule type="expression" dxfId="10" priority="28">
      <x:formula>$U10="Purple"</x:formula>
    </x:cfRule>
    <x:cfRule type="expression" dxfId="11" priority="29">
      <x:formula>$U10="Gold"</x:formula>
    </x:cfRule>
    <x:cfRule type="expression" dxfId="12" priority="30">
      <x:formula>$U10="Silver"</x:formula>
    </x:cfRule>
    <x:cfRule type="expression" dxfId="13" priority="31">
      <x:formula>$U10="White"</x:formula>
    </x:cfRule>
    <x:cfRule type="expression" dxfId="14" priority="32">
      <x:formula>$U10="Clear"</x:formula>
    </x:cfRule>
    <x:cfRule type="expression" dxfId="12" priority="33">
      <x:formula>$U10="Gray"</x:formula>
    </x:cfRule>
    <x:cfRule type="expression" dxfId="16" priority="34">
      <x:formula>$U10="Orange"</x:formula>
    </x:cfRule>
    <x:cfRule type="expression" dxfId="17" priority="35">
      <x:formula>$U10="Pink"</x:formula>
    </x:cfRule>
    <x:cfRule type="expression" dxfId="18" priority="36">
      <x:formula>$U10="Yellow"</x:formula>
    </x:cfRule>
    <x:cfRule type="expression" dxfId="19" priority="37">
      <x:formula>$U10="Teal"</x:formula>
    </x:cfRule>
    <x:cfRule type="expression" dxfId="20" priority="38">
      <x:formula>$U10="Unknown"</x:formula>
    </x:cfRule>
    <x:cfRule type="expression" dxfId="20" priority="39">
      <x:formula>$U10="Not Listed"</x:formula>
    </x:cfRule>
    <x:cfRule type="expression" dxfId="22" priority="40">
      <x:formula>$U10="Mixed/Multiple"</x:formula>
    </x:cfRule>
  </x:conditionalFormatting>
  <x:conditionalFormatting sqref="F13:F200">
    <x:cfRule type="expression" dxfId="108" priority="41">
      <x:formula>OR($F13="Pass",$F13="On label")</x:formula>
    </x:cfRule>
  </x:conditionalFormatting>
  <x:conditionalFormatting sqref="L13:L200">
    <x:cfRule type="expression" dxfId="108" priority="42">
      <x:formula>OR($L13="Pass",$L13="On label")</x:formula>
    </x:cfRule>
    <x:cfRule type="expression" dxfId="108" priority="43">
      <x:formula>=$L13="Pass"</x:formula>
    </x:cfRule>
    <x:cfRule type="expression" dxfId="109" priority="44">
      <x:formula>=$L13="Fail"</x:formula>
    </x:cfRule>
  </x:conditionalFormatting>
  <x:conditionalFormatting sqref="M13:N200">
    <x:cfRule type="expression" dxfId="110" priority="45">
      <x:formula>=M13="Not Provided"</x:formula>
    </x:cfRule>
  </x:conditionalFormatting>
  <x:dataValidations count="4">
    <x:dataValidation type="list" allowBlank="0" showDropDown="0" showInputMessage="0" showErrorMessage="0" sqref="I10:I30">
      <x:formula1>"Overfilled,Underfilled,On label,Review,Pending"</x:formula1>
    </x:dataValidation>
    <x:dataValidation type="list" allowBlank="0" showDropDown="0" showInputMessage="0" showErrorMessage="0" sqref="Q10:Q30">
      <x:formula1>"Pass,Fail,Review,Pending"</x:formula1>
    </x:dataValidation>
    <x:dataValidation type="list" allowBlank="0" showDropDown="0" showInputMessage="0" showErrorMessage="0" sqref="K10:K30">
      <x:formula1>"Confirmed,Unconfirmed,Review,Pending"</x:formula1>
    </x:dataValidation>
    <x:dataValidation type="list" allowBlank="0" showDropDown="0" showInputMessage="0" showErrorMessage="0" sqref="T9:U30">
      <x:formula1>Lists!$G$2:$G$18</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35" style="198" customWidth="1"/>
    <x:col min="2" max="2" width="19.3799991607666" style="198" customWidth="1"/>
    <x:col min="3" max="3" width="18.299999237060547" style="198" customWidth="1"/>
    <x:col min="4" max="4" width="27.729999542236328" style="198" customWidth="1"/>
    <x:col min="5" max="5" width="35" style="198" customWidth="1"/>
    <x:col min="6" max="6" width="17.360000610351562" style="198" customWidth="1"/>
    <x:col min="7" max="7" width="35" style="198" customWidth="1"/>
  </x:cols>
  <x:sheetData>
    <x:row r="1" s="198" customFormat="1" ht="28" customHeight="1">
      <x:c r="A1" s="175" t="inlineStr">
        <x:is>
          <x:t xml:space="preserve">Complete Peptide Half-Life Reference</x:t>
        </x:is>
      </x:c>
      <x:c r="B1" s="20" t="n"/>
      <x:c r="C1" s="20" t="n"/>
      <x:c r="D1" s="20" t="n"/>
      <x:c r="E1" s="20" t="n"/>
      <x:c r="F1" s="20" t="n"/>
      <x:c r="G1" s="20" t="n"/>
    </x:row>
    <x:row r="2">
      <x:c r="A2" s="243" t="inlineStr">
        <x:is>
          <x:t xml:space="preserve">Peptide</x:t>
        </x:is>
      </x:c>
      <x:c r="B2" s="243" t="inlineStr">
        <x:is>
          <x:t xml:space="preserve">Alias/Abbrev</x:t>
        </x:is>
      </x:c>
      <x:c r="C2" s="243" t="inlineStr">
        <x:is>
          <x:t xml:space="preserve">Category</x:t>
        </x:is>
      </x:c>
      <x:c r="D2" s="243" t="inlineStr">
        <x:is>
          <x:t xml:space="preserve">Approx Half-Life</x:t>
        </x:is>
      </x:c>
      <x:c r="E2" s="243" t="inlineStr">
        <x:is>
          <x:t xml:space="preserve">Active Duration / Notes</x:t>
        </x:is>
      </x:c>
      <x:c r="F2" s="243" t="inlineStr">
        <x:is>
          <x:t xml:space="preserve">Common Route(s)</x:t>
        </x:is>
      </x:c>
      <x:c r="G2" s="243" t="inlineStr">
        <x:is>
          <x:t xml:space="preserve">Reference Notes</x:t>
        </x:is>
      </x:c>
    </x:row>
    <x:row r="3">
      <x:c r="A3" s="234" t="inlineStr">
        <x:is>
          <x:t xml:space="preserve">Retatrutide</x:t>
        </x:is>
      </x:c>
      <x:c r="B3" s="234" t="inlineStr">
        <x:is>
          <x:t xml:space="preserve">Reta</x:t>
        </x:is>
      </x:c>
      <x:c r="C3" s="234" t="inlineStr">
        <x:is>
          <x:t xml:space="preserve">GLP-1/GIP/GCG</x:t>
        </x:is>
      </x:c>
      <x:c r="D3" s="234" t="inlineStr">
        <x:is>
          <x:t xml:space="preserve">~6 days</x:t>
        </x:is>
      </x:c>
      <x:c r="E3" s="234" t="inlineStr">
        <x:is>
          <x:t xml:space="preserve">Long-acting triple agonist</x:t>
        </x:is>
      </x:c>
      <x:c r="F3" s="234" t="inlineStr">
        <x:is>
          <x:t xml:space="preserve">SC</x:t>
        </x:is>
      </x:c>
      <x:c r="G3" s="234" t="inlineStr">
        <x:is>
          <x:t xml:space="preserve">Approximate; formulation and study design dependent</x:t>
        </x:is>
      </x:c>
    </x:row>
    <x:row r="4">
      <x:c r="A4" s="234" t="inlineStr">
        <x:is>
          <x:t xml:space="preserve">Tirzepatide</x:t>
        </x:is>
      </x:c>
      <x:c r="B4" s="234" t="inlineStr">
        <x:is>
          <x:t xml:space="preserve">Tirz</x:t>
        </x:is>
      </x:c>
      <x:c r="C4" s="234" t="inlineStr">
        <x:is>
          <x:t xml:space="preserve">GLP-1/GIP</x:t>
        </x:is>
      </x:c>
      <x:c r="D4" s="234" t="inlineStr">
        <x:is>
          <x:t xml:space="preserve">~5 days</x:t>
        </x:is>
      </x:c>
      <x:c r="E4" s="234" t="inlineStr">
        <x:is>
          <x:t xml:space="preserve">Weekly peptide drug analog</x:t>
        </x:is>
      </x:c>
      <x:c r="F4" s="234" t="inlineStr">
        <x:is>
          <x:t xml:space="preserve">SC</x:t>
        </x:is>
      </x:c>
      <x:c r="G4" s="234" t="inlineStr">
        <x:is>
          <x:t xml:space="preserve">Approximate</x:t>
        </x:is>
      </x:c>
    </x:row>
    <x:row r="5">
      <x:c r="A5" s="234" t="inlineStr">
        <x:is>
          <x:t xml:space="preserve">Semaglutide</x:t>
        </x:is>
      </x:c>
      <x:c r="B5" s="234" t="inlineStr">
        <x:is>
          <x:t xml:space="preserve">Sema</x:t>
        </x:is>
      </x:c>
      <x:c r="C5" s="234" t="inlineStr">
        <x:is>
          <x:t xml:space="preserve">GLP-1</x:t>
        </x:is>
      </x:c>
      <x:c r="D5" s="234" t="inlineStr">
        <x:is>
          <x:t xml:space="preserve">~7 days</x:t>
        </x:is>
      </x:c>
      <x:c r="E5" s="234" t="inlineStr">
        <x:is>
          <x:t xml:space="preserve">Weekly GLP-1 analog</x:t>
        </x:is>
      </x:c>
      <x:c r="F5" s="234" t="inlineStr">
        <x:is>
          <x:t xml:space="preserve">SC/Oral formulation</x:t>
        </x:is>
      </x:c>
      <x:c r="G5" s="234" t="inlineStr">
        <x:is>
          <x:t xml:space="preserve">Approximate</x:t>
        </x:is>
      </x:c>
    </x:row>
    <x:row r="6">
      <x:c r="A6" s="234" t="inlineStr">
        <x:is>
          <x:t xml:space="preserve">Cagrilintide</x:t>
        </x:is>
      </x:c>
      <x:c r="B6" s="234" t="inlineStr">
        <x:is>
          <x:t xml:space="preserve">Cagri</x:t>
        </x:is>
      </x:c>
      <x:c r="C6" s="234" t="inlineStr">
        <x:is>
          <x:t xml:space="preserve">Amylin analog</x:t>
        </x:is>
      </x:c>
      <x:c r="D6" s="234" t="inlineStr">
        <x:is>
          <x:t xml:space="preserve">~5–7 days</x:t>
        </x:is>
      </x:c>
      <x:c r="E6" s="234" t="inlineStr">
        <x:is>
          <x:t xml:space="preserve">Long acting amylin analog</x:t>
        </x:is>
      </x:c>
      <x:c r="F6" s="234" t="inlineStr">
        <x:is>
          <x:t xml:space="preserve">SC</x:t>
        </x:is>
      </x:c>
      <x:c r="G6" s="234" t="inlineStr">
        <x:is>
          <x:t xml:space="preserve">Approximate</x:t>
        </x:is>
      </x:c>
    </x:row>
    <x:row r="7">
      <x:c r="A7" s="234" t="inlineStr">
        <x:is>
          <x:t xml:space="preserve">Liraglutide</x:t>
        </x:is>
      </x:c>
      <x:c r="B7" s="234" t="inlineStr">
        <x:is>
          <x:t xml:space="preserve">Lira</x:t>
        </x:is>
      </x:c>
      <x:c r="C7" s="234" t="inlineStr">
        <x:is>
          <x:t xml:space="preserve">GLP-1</x:t>
        </x:is>
      </x:c>
      <x:c r="D7" s="234" t="inlineStr">
        <x:is>
          <x:t xml:space="preserve">~13 hours</x:t>
        </x:is>
      </x:c>
      <x:c r="E7" s="234" t="inlineStr">
        <x:is>
          <x:t xml:space="preserve">Daily GLP-1 analog</x:t>
        </x:is>
      </x:c>
      <x:c r="F7" s="234" t="inlineStr">
        <x:is>
          <x:t xml:space="preserve">SC</x:t>
        </x:is>
      </x:c>
      <x:c r="G7" s="234" t="inlineStr">
        <x:is>
          <x:t xml:space="preserve">Approximate</x:t>
        </x:is>
      </x:c>
    </x:row>
    <x:row r="8">
      <x:c r="A8" s="234" t="inlineStr">
        <x:is>
          <x:t xml:space="preserve">Dulaglutide</x:t>
        </x:is>
      </x:c>
      <x:c r="B8" s="234" t="inlineStr">
        <x:is>
          <x:t xml:space="preserve">Dula</x:t>
        </x:is>
      </x:c>
      <x:c r="C8" s="234" t="inlineStr">
        <x:is>
          <x:t xml:space="preserve">GLP-1</x:t>
        </x:is>
      </x:c>
      <x:c r="D8" s="234" t="inlineStr">
        <x:is>
          <x:t xml:space="preserve">~5 days</x:t>
        </x:is>
      </x:c>
      <x:c r="E8" s="234" t="inlineStr">
        <x:is>
          <x:t xml:space="preserve">Long acting GLP-1</x:t>
        </x:is>
      </x:c>
      <x:c r="F8" s="234" t="inlineStr">
        <x:is>
          <x:t xml:space="preserve">SC</x:t>
        </x:is>
      </x:c>
      <x:c r="G8" s="234" t="inlineStr">
        <x:is>
          <x:t xml:space="preserve">Approximate</x:t>
        </x:is>
      </x:c>
    </x:row>
    <x:row r="9">
      <x:c r="A9" s="234" t="inlineStr">
        <x:is>
          <x:t xml:space="preserve">Exenatide</x:t>
        </x:is>
      </x:c>
      <x:c r="B9" s="234" t="inlineStr">
        <x:is>
          <x:t xml:space="preserve">Exen</x:t>
        </x:is>
      </x:c>
      <x:c r="C9" s="234" t="inlineStr">
        <x:is>
          <x:t xml:space="preserve">GLP-1</x:t>
        </x:is>
      </x:c>
      <x:c r="D9" s="234" t="inlineStr">
        <x:is>
          <x:t xml:space="preserve">~2.4 hours</x:t>
        </x:is>
      </x:c>
      <x:c r="E9" s="234" t="inlineStr">
        <x:is>
          <x:t xml:space="preserve">Short acting incretin mimetic</x:t>
        </x:is>
      </x:c>
      <x:c r="F9" s="234" t="inlineStr">
        <x:is>
          <x:t xml:space="preserve">SC</x:t>
        </x:is>
      </x:c>
      <x:c r="G9" s="234" t="inlineStr">
        <x:is>
          <x:t xml:space="preserve">Approximate</x:t>
        </x:is>
      </x:c>
    </x:row>
    <x:row r="10">
      <x:c r="A10" s="234" t="inlineStr">
        <x:is>
          <x:t xml:space="preserve">Exenatide ER</x:t>
        </x:is>
      </x:c>
      <x:c r="B10" s="234" t="inlineStr">
        <x:is>
          <x:t xml:space="preserve">Bydureon</x:t>
        </x:is>
      </x:c>
      <x:c r="C10" s="234" t="inlineStr">
        <x:is>
          <x:t xml:space="preserve">GLP-1</x:t>
        </x:is>
      </x:c>
      <x:c r="D10" s="234" t="inlineStr">
        <x:is>
          <x:t xml:space="preserve">~2 weeks release</x:t>
        </x:is>
      </x:c>
      <x:c r="E10" s="234" t="inlineStr">
        <x:is>
          <x:t xml:space="preserve">Extended-release formulation</x:t>
        </x:is>
      </x:c>
      <x:c r="F10" s="234" t="inlineStr">
        <x:is>
          <x:t xml:space="preserve">SC</x:t>
        </x:is>
      </x:c>
      <x:c r="G10" s="234" t="inlineStr">
        <x:is>
          <x:t xml:space="preserve">Formulation dependent</x:t>
        </x:is>
      </x:c>
    </x:row>
    <x:row r="11">
      <x:c r="A11" s="234" t="inlineStr">
        <x:is>
          <x:t xml:space="preserve">Mazdutide</x:t>
        </x:is>
      </x:c>
      <x:c r="B11" s="234" t="inlineStr">
        <x:is>
          <x:t xml:space="preserve">IBI362</x:t>
        </x:is>
      </x:c>
      <x:c r="C11" s="234" t="inlineStr">
        <x:is>
          <x:t xml:space="preserve">GLP-1/GCG</x:t>
        </x:is>
      </x:c>
      <x:c r="D11" s="234" t="inlineStr">
        <x:is>
          <x:t xml:space="preserve">~6–8 days</x:t>
        </x:is>
      </x:c>
      <x:c r="E11" s="234" t="inlineStr">
        <x:is>
          <x:t xml:space="preserve">Investigational</x:t>
        </x:is>
      </x:c>
      <x:c r="F11" s="234" t="inlineStr">
        <x:is>
          <x:t xml:space="preserve">SC</x:t>
        </x:is>
      </x:c>
      <x:c r="G11" s="234" t="inlineStr">
        <x:is>
          <x:t xml:space="preserve">Estimated</x:t>
        </x:is>
      </x:c>
    </x:row>
    <x:row r="12">
      <x:c r="A12" s="234" t="inlineStr">
        <x:is>
          <x:t xml:space="preserve">Survodutide</x:t>
        </x:is>
      </x:c>
      <x:c r="B12" s="234" t="inlineStr">
        <x:is>
          <x:t xml:space="preserve">BI 456906</x:t>
        </x:is>
      </x:c>
      <x:c r="C12" s="234" t="inlineStr">
        <x:is>
          <x:t xml:space="preserve">GLP-1/GCG</x:t>
        </x:is>
      </x:c>
      <x:c r="D12" s="234" t="inlineStr">
        <x:is>
          <x:t xml:space="preserve">~6–7 days</x:t>
        </x:is>
      </x:c>
      <x:c r="E12" s="234" t="inlineStr">
        <x:is>
          <x:t xml:space="preserve">Investigational</x:t>
        </x:is>
      </x:c>
      <x:c r="F12" s="234" t="inlineStr">
        <x:is>
          <x:t xml:space="preserve">SC</x:t>
        </x:is>
      </x:c>
      <x:c r="G12" s="234" t="inlineStr">
        <x:is>
          <x:t xml:space="preserve">Estimated</x:t>
        </x:is>
      </x:c>
    </x:row>
    <x:row r="13">
      <x:c r="A13" s="234" t="inlineStr">
        <x:is>
          <x:t xml:space="preserve">Pemvidutide</x:t>
        </x:is>
      </x:c>
      <x:c r="B13" s="234" t="inlineStr">
        <x:is>
          <x:t xml:space="preserve">ALT-801</x:t>
        </x:is>
      </x:c>
      <x:c r="C13" s="234" t="inlineStr">
        <x:is>
          <x:t xml:space="preserve">GLP-1/GCG</x:t>
        </x:is>
      </x:c>
      <x:c r="D13" s="234" t="inlineStr">
        <x:is>
          <x:t xml:space="preserve">~6–8 days</x:t>
        </x:is>
      </x:c>
      <x:c r="E13" s="234" t="inlineStr">
        <x:is>
          <x:t xml:space="preserve">Investigational</x:t>
        </x:is>
      </x:c>
      <x:c r="F13" s="234" t="inlineStr">
        <x:is>
          <x:t xml:space="preserve">SC</x:t>
        </x:is>
      </x:c>
      <x:c r="G13" s="234" t="inlineStr">
        <x:is>
          <x:t xml:space="preserve">Estimated</x:t>
        </x:is>
      </x:c>
    </x:row>
    <x:row r="14">
      <x:c r="A14" s="234" t="inlineStr">
        <x:is>
          <x:t xml:space="preserve">MariTide</x:t>
        </x:is>
      </x:c>
      <x:c r="B14" s="234" t="inlineStr">
        <x:is>
          <x:t xml:space="preserve">AMG-133</x:t>
        </x:is>
      </x:c>
      <x:c r="C14" s="234" t="inlineStr">
        <x:is>
          <x:t xml:space="preserve">GLP-1/GIPR</x:t>
        </x:is>
      </x:c>
      <x:c r="D14" s="234" t="inlineStr">
        <x:is>
          <x:t xml:space="preserve">~21 days</x:t>
        </x:is>
      </x:c>
      <x:c r="E14" s="234" t="inlineStr">
        <x:is>
          <x:t xml:space="preserve">Long acting investigational</x:t>
        </x:is>
      </x:c>
      <x:c r="F14" s="234" t="inlineStr">
        <x:is>
          <x:t xml:space="preserve">SC</x:t>
        </x:is>
      </x:c>
      <x:c r="G14" s="234" t="inlineStr">
        <x:is>
          <x:t xml:space="preserve">Estimated</x:t>
        </x:is>
      </x:c>
    </x:row>
    <x:row r="15">
      <x:c r="A15" s="234" t="inlineStr">
        <x:is>
          <x:t xml:space="preserve">VK2735</x:t>
        </x:is>
      </x:c>
      <x:c r="B15" s="234" t="inlineStr">
        <x:is>
          <x:t xml:space="preserve">VK2735</x:t>
        </x:is>
      </x:c>
      <x:c r="C15" s="234" t="inlineStr">
        <x:is>
          <x:t xml:space="preserve">GLP-1/GIP</x:t>
        </x:is>
      </x:c>
      <x:c r="D15" s="234" t="inlineStr">
        <x:is>
          <x:t xml:space="preserve">~6–7 days</x:t>
        </x:is>
      </x:c>
      <x:c r="E15" s="234" t="inlineStr">
        <x:is>
          <x:t xml:space="preserve">Investigational</x:t>
        </x:is>
      </x:c>
      <x:c r="F15" s="234" t="inlineStr">
        <x:is>
          <x:t xml:space="preserve">SC</x:t>
        </x:is>
      </x:c>
      <x:c r="G15" s="234" t="inlineStr">
        <x:is>
          <x:t xml:space="preserve">Estimated</x:t>
        </x:is>
      </x:c>
    </x:row>
    <x:row r="16">
      <x:c r="A16" s="234" t="inlineStr">
        <x:is>
          <x:t xml:space="preserve">BPC-157</x:t>
        </x:is>
      </x:c>
      <x:c r="B16" s="234" t="inlineStr">
        <x:is>
          <x:t xml:space="preserve">BPC</x:t>
        </x:is>
      </x:c>
      <x:c r="C16" s="234" t="inlineStr">
        <x:is>
          <x:t xml:space="preserve">Healing / Recovery</x:t>
        </x:is>
      </x:c>
      <x:c r="D16" s="234" t="inlineStr">
        <x:is>
          <x:t xml:space="preserve">~4–6 hours</x:t>
        </x:is>
      </x:c>
      <x:c r="E16" s="234" t="inlineStr">
        <x:is>
          <x:t xml:space="preserve">Biological effects may outlast plasma half-life</x:t>
        </x:is>
      </x:c>
      <x:c r="F16" s="234" t="inlineStr">
        <x:is>
          <x:t xml:space="preserve">SC/Oral</x:t>
        </x:is>
      </x:c>
      <x:c r="G16" s="234" t="inlineStr">
        <x:is>
          <x:t xml:space="preserve">Approximate research reference</x:t>
        </x:is>
      </x:c>
    </x:row>
    <x:row r="17">
      <x:c r="A17" s="234" t="inlineStr">
        <x:is>
          <x:t xml:space="preserve">TB-500</x:t>
        </x:is>
      </x:c>
      <x:c r="B17" s="234" t="inlineStr">
        <x:is>
          <x:t xml:space="preserve">TB4 fragment</x:t>
        </x:is>
      </x:c>
      <x:c r="C17" s="234" t="inlineStr">
        <x:is>
          <x:t xml:space="preserve">Healing / Recovery</x:t>
        </x:is>
      </x:c>
      <x:c r="D17" s="234" t="inlineStr">
        <x:is>
          <x:t xml:space="preserve">~2–8 hours</x:t>
        </x:is>
      </x:c>
      <x:c r="E17" s="234" t="inlineStr">
        <x:is>
          <x:t xml:space="preserve">Effects may persist longer</x:t>
        </x:is>
      </x:c>
      <x:c r="F17" s="234" t="inlineStr">
        <x:is>
          <x:t xml:space="preserve">SC</x:t>
        </x:is>
      </x:c>
      <x:c r="G17" s="234" t="inlineStr">
        <x:is>
          <x:t xml:space="preserve">Approximate</x:t>
        </x:is>
      </x:c>
    </x:row>
    <x:row r="18">
      <x:c r="A18" s="234" t="inlineStr">
        <x:is>
          <x:t xml:space="preserve">Thymosin Beta-4</x:t>
        </x:is>
      </x:c>
      <x:c r="B18" s="234" t="inlineStr">
        <x:is>
          <x:t xml:space="preserve">TB4</x:t>
        </x:is>
      </x:c>
      <x:c r="C18" s="234" t="inlineStr">
        <x:is>
          <x:t xml:space="preserve">Healing / Recovery</x:t>
        </x:is>
      </x:c>
      <x:c r="D18" s="234" t="inlineStr">
        <x:is>
          <x:t xml:space="preserve">~2 hours</x:t>
        </x:is>
      </x:c>
      <x:c r="E18" s="234" t="inlineStr">
        <x:is>
          <x:t xml:space="preserve">Parent thymosin peptide</x:t>
        </x:is>
      </x:c>
      <x:c r="F18" s="234" t="inlineStr">
        <x:is>
          <x:t xml:space="preserve">SC</x:t>
        </x:is>
      </x:c>
      <x:c r="G18" s="234" t="inlineStr">
        <x:is>
          <x:t xml:space="preserve">Approximate</x:t>
        </x:is>
      </x:c>
    </x:row>
    <x:row r="19">
      <x:c r="A19" s="234" t="inlineStr">
        <x:is>
          <x:t xml:space="preserve">GHK-Cu</x:t>
        </x:is>
      </x:c>
      <x:c r="B19" s="234" t="inlineStr">
        <x:is>
          <x:t xml:space="preserve">Copper peptide</x:t>
        </x:is>
      </x:c>
      <x:c r="C19" s="234" t="inlineStr">
        <x:is>
          <x:t xml:space="preserve">Regenerative / Skin</x:t>
        </x:is>
      </x:c>
      <x:c r="D19" s="234" t="inlineStr">
        <x:is>
          <x:t xml:space="preserve">~12–24 hours</x:t>
        </x:is>
      </x:c>
      <x:c r="E19" s="234" t="inlineStr">
        <x:is>
          <x:t xml:space="preserve">Copper tripeptide</x:t>
        </x:is>
      </x:c>
      <x:c r="F19" s="234" t="inlineStr">
        <x:is>
          <x:t xml:space="preserve">Topical/SC</x:t>
        </x:is>
      </x:c>
      <x:c r="G19" s="234" t="inlineStr">
        <x:is>
          <x:t xml:space="preserve">Approximate</x:t>
        </x:is>
      </x:c>
    </x:row>
    <x:row r="20">
      <x:c r="A20" s="234" t="inlineStr">
        <x:is>
          <x:t xml:space="preserve">MOTS-C</x:t>
        </x:is>
      </x:c>
      <x:c r="B20" s="234" t="inlineStr">
        <x:is>
          <x:t xml:space="preserve">MOTS-C</x:t>
        </x:is>
      </x:c>
      <x:c r="C20" s="234" t="inlineStr">
        <x:is>
          <x:t xml:space="preserve">Mitochondrial</x:t>
        </x:is>
      </x:c>
      <x:c r="D20" s="234" t="inlineStr">
        <x:is>
          <x:t xml:space="preserve">~30–60 minutes</x:t>
        </x:is>
      </x:c>
      <x:c r="E20" s="234" t="inlineStr">
        <x:is>
          <x:t xml:space="preserve">Mitochondrial-derived peptide</x:t>
        </x:is>
      </x:c>
      <x:c r="F20" s="234" t="inlineStr">
        <x:is>
          <x:t xml:space="preserve">SC</x:t>
        </x:is>
      </x:c>
      <x:c r="G20" s="234" t="inlineStr">
        <x:is>
          <x:t xml:space="preserve">Approximate</x:t>
        </x:is>
      </x:c>
    </x:row>
    <x:row r="21">
      <x:c r="A21" s="234" t="inlineStr">
        <x:is>
          <x:t xml:space="preserve">SS-31</x:t>
        </x:is>
      </x:c>
      <x:c r="B21" s="234" t="inlineStr">
        <x:is>
          <x:t xml:space="preserve">Elamipretide</x:t>
        </x:is>
      </x:c>
      <x:c r="C21" s="234" t="inlineStr">
        <x:is>
          <x:t xml:space="preserve">Mitochondrial</x:t>
        </x:is>
      </x:c>
      <x:c r="D21" s="234" t="inlineStr">
        <x:is>
          <x:t xml:space="preserve">~4–8 hours</x:t>
        </x:is>
      </x:c>
      <x:c r="E21" s="234" t="inlineStr">
        <x:is>
          <x:t xml:space="preserve">Mitochondrial-targeted tetrapeptide</x:t>
        </x:is>
      </x:c>
      <x:c r="F21" s="234" t="inlineStr">
        <x:is>
          <x:t xml:space="preserve">SC/IV</x:t>
        </x:is>
      </x:c>
      <x:c r="G21" s="234" t="inlineStr">
        <x:is>
          <x:t xml:space="preserve">Approximate</x:t>
        </x:is>
      </x:c>
    </x:row>
    <x:row r="22">
      <x:c r="A22" s="234" t="inlineStr">
        <x:is>
          <x:t xml:space="preserve">Humanin</x:t>
        </x:is>
      </x:c>
      <x:c r="B22" s="234" t="inlineStr">
        <x:is>
          <x:t xml:space="preserve">HN</x:t>
        </x:is>
      </x:c>
      <x:c r="C22" s="234" t="inlineStr">
        <x:is>
          <x:t xml:space="preserve">Mitochondrial</x:t>
        </x:is>
      </x:c>
      <x:c r="D22" s="234" t="inlineStr">
        <x:is>
          <x:t xml:space="preserve">~2–4 hours</x:t>
        </x:is>
      </x:c>
      <x:c r="E22" s="234" t="inlineStr">
        <x:is>
          <x:t xml:space="preserve">Mitochondrial-derived peptide</x:t>
        </x:is>
      </x:c>
      <x:c r="F22" s="234" t="inlineStr">
        <x:is>
          <x:t xml:space="preserve">SC</x:t>
        </x:is>
      </x:c>
      <x:c r="G22" s="234" t="inlineStr">
        <x:is>
          <x:t xml:space="preserve">Estimated</x:t>
        </x:is>
      </x:c>
    </x:row>
    <x:row r="23">
      <x:c r="A23" s="234" t="inlineStr">
        <x:is>
          <x:t xml:space="preserve">AOD-9604</x:t>
        </x:is>
      </x:c>
      <x:c r="B23" s="234" t="inlineStr">
        <x:is>
          <x:t xml:space="preserve">AOD</x:t>
        </x:is>
      </x:c>
      <x:c r="C23" s="234" t="inlineStr">
        <x:is>
          <x:t xml:space="preserve">Metabolic / Fat Loss</x:t>
        </x:is>
      </x:c>
      <x:c r="D23" s="234" t="inlineStr">
        <x:is>
          <x:t xml:space="preserve">~2–3 hours</x:t>
        </x:is>
      </x:c>
      <x:c r="E23" s="234" t="inlineStr">
        <x:is>
          <x:t xml:space="preserve">hGH fragment analog</x:t>
        </x:is>
      </x:c>
      <x:c r="F23" s="234" t="inlineStr">
        <x:is>
          <x:t xml:space="preserve">SC</x:t>
        </x:is>
      </x:c>
      <x:c r="G23" s="234" t="inlineStr">
        <x:is>
          <x:t xml:space="preserve">Approximate</x:t>
        </x:is>
      </x:c>
    </x:row>
    <x:row r="24">
      <x:c r="A24" s="234" t="inlineStr">
        <x:is>
          <x:t xml:space="preserve">Tesamorelin</x:t>
        </x:is>
      </x:c>
      <x:c r="B24" s="234" t="inlineStr">
        <x:is>
          <x:t xml:space="preserve">Egrifta analog</x:t>
        </x:is>
      </x:c>
      <x:c r="C24" s="234" t="inlineStr">
        <x:is>
          <x:t xml:space="preserve">GHRH analog</x:t>
        </x:is>
      </x:c>
      <x:c r="D24" s="234" t="inlineStr">
        <x:is>
          <x:t xml:space="preserve">~2 hours</x:t>
        </x:is>
      </x:c>
      <x:c r="E24" s="234" t="inlineStr">
        <x:is>
          <x:t xml:space="preserve">GH-releasing hormone analog</x:t>
        </x:is>
      </x:c>
      <x:c r="F24" s="234" t="inlineStr">
        <x:is>
          <x:t xml:space="preserve">SC</x:t>
        </x:is>
      </x:c>
      <x:c r="G24" s="234" t="inlineStr">
        <x:is>
          <x:t xml:space="preserve">Approximate</x:t>
        </x:is>
      </x:c>
    </x:row>
    <x:row r="25">
      <x:c r="A25" s="234" t="inlineStr">
        <x:is>
          <x:t xml:space="preserve">Sermorelin</x:t>
        </x:is>
      </x:c>
      <x:c r="B25" s="234" t="inlineStr">
        <x:is>
          <x:t xml:space="preserve">GHRH 1-29</x:t>
        </x:is>
      </x:c>
      <x:c r="C25" s="234" t="inlineStr">
        <x:is>
          <x:t xml:space="preserve">GHRH analog</x:t>
        </x:is>
      </x:c>
      <x:c r="D25" s="234" t="inlineStr">
        <x:is>
          <x:t xml:space="preserve">~10–20 minutes</x:t>
        </x:is>
      </x:c>
      <x:c r="E25" s="234" t="inlineStr">
        <x:is>
          <x:t xml:space="preserve">Short acting GHRH fragment</x:t>
        </x:is>
      </x:c>
      <x:c r="F25" s="234" t="inlineStr">
        <x:is>
          <x:t xml:space="preserve">SC</x:t>
        </x:is>
      </x:c>
      <x:c r="G25" s="234" t="inlineStr">
        <x:is>
          <x:t xml:space="preserve">Approximate</x:t>
        </x:is>
      </x:c>
    </x:row>
    <x:row r="26">
      <x:c r="A26" s="234" t="inlineStr">
        <x:is>
          <x:t xml:space="preserve">CJC-1295 No DAC</x:t>
        </x:is>
      </x:c>
      <x:c r="B26" s="234" t="inlineStr">
        <x:is>
          <x:t xml:space="preserve">Mod GRF 1-29</x:t>
        </x:is>
      </x:c>
      <x:c r="C26" s="234" t="inlineStr">
        <x:is>
          <x:t xml:space="preserve">GHRH analog</x:t>
        </x:is>
      </x:c>
      <x:c r="D26" s="234" t="inlineStr">
        <x:is>
          <x:t xml:space="preserve">~30 minutes–2 hours</x:t>
        </x:is>
      </x:c>
      <x:c r="E26" s="234" t="inlineStr">
        <x:is>
          <x:t xml:space="preserve">Short acting</x:t>
        </x:is>
      </x:c>
      <x:c r="F26" s="234" t="inlineStr">
        <x:is>
          <x:t xml:space="preserve">SC</x:t>
        </x:is>
      </x:c>
      <x:c r="G26" s="234" t="inlineStr">
        <x:is>
          <x:t xml:space="preserve">Approximate</x:t>
        </x:is>
      </x:c>
    </x:row>
    <x:row r="27">
      <x:c r="A27" s="234" t="inlineStr">
        <x:is>
          <x:t xml:space="preserve">CJC-1295 DAC</x:t>
        </x:is>
      </x:c>
      <x:c r="B27" s="234" t="inlineStr">
        <x:is>
          <x:t xml:space="preserve">CJC DAC</x:t>
        </x:is>
      </x:c>
      <x:c r="C27" s="234" t="inlineStr">
        <x:is>
          <x:t xml:space="preserve">GHRH analog</x:t>
        </x:is>
      </x:c>
      <x:c r="D27" s="234" t="inlineStr">
        <x:is>
          <x:t xml:space="preserve">~5–8 days</x:t>
        </x:is>
      </x:c>
      <x:c r="E27" s="234" t="inlineStr">
        <x:is>
          <x:t xml:space="preserve">DAC extends half-life</x:t>
        </x:is>
      </x:c>
      <x:c r="F27" s="234" t="inlineStr">
        <x:is>
          <x:t xml:space="preserve">SC</x:t>
        </x:is>
      </x:c>
      <x:c r="G27" s="234" t="inlineStr">
        <x:is>
          <x:t xml:space="preserve">Approximate</x:t>
        </x:is>
      </x:c>
    </x:row>
    <x:row r="28">
      <x:c r="A28" s="234" t="inlineStr">
        <x:is>
          <x:t xml:space="preserve">Ipamorelin</x:t>
        </x:is>
      </x:c>
      <x:c r="B28" s="234" t="inlineStr">
        <x:is>
          <x:t xml:space="preserve">Ipa</x:t>
        </x:is>
      </x:c>
      <x:c r="C28" s="234" t="inlineStr">
        <x:is>
          <x:t xml:space="preserve">GH Secretagogue</x:t>
        </x:is>
      </x:c>
      <x:c r="D28" s="234" t="inlineStr">
        <x:is>
          <x:t xml:space="preserve">~2 hours</x:t>
        </x:is>
      </x:c>
      <x:c r="E28" s="234" t="inlineStr">
        <x:is>
          <x:t xml:space="preserve">Ghrelin receptor agonist</x:t>
        </x:is>
      </x:c>
      <x:c r="F28" s="234" t="inlineStr">
        <x:is>
          <x:t xml:space="preserve">SC</x:t>
        </x:is>
      </x:c>
      <x:c r="G28" s="234" t="inlineStr">
        <x:is>
          <x:t xml:space="preserve">Approximate</x:t>
        </x:is>
      </x:c>
    </x:row>
    <x:row r="29">
      <x:c r="A29" s="234" t="inlineStr">
        <x:is>
          <x:t xml:space="preserve">Hexarelin</x:t>
        </x:is>
      </x:c>
      <x:c r="B29" s="234" t="inlineStr">
        <x:is>
          <x:t xml:space="preserve">Hex</x:t>
        </x:is>
      </x:c>
      <x:c r="C29" s="234" t="inlineStr">
        <x:is>
          <x:t xml:space="preserve">GH Secretagogue</x:t>
        </x:is>
      </x:c>
      <x:c r="D29" s="234" t="inlineStr">
        <x:is>
          <x:t xml:space="preserve">~50–60 minutes</x:t>
        </x:is>
      </x:c>
      <x:c r="E29" s="234" t="inlineStr">
        <x:is>
          <x:t xml:space="preserve">GHRP family</x:t>
        </x:is>
      </x:c>
      <x:c r="F29" s="234" t="inlineStr">
        <x:is>
          <x:t xml:space="preserve">SC</x:t>
        </x:is>
      </x:c>
      <x:c r="G29" s="234" t="inlineStr">
        <x:is>
          <x:t xml:space="preserve">Approximate</x:t>
        </x:is>
      </x:c>
    </x:row>
    <x:row r="30">
      <x:c r="A30" s="234" t="inlineStr">
        <x:is>
          <x:t xml:space="preserve">GHRP-2</x:t>
        </x:is>
      </x:c>
      <x:c r="B30" s="234" t="inlineStr">
        <x:is>
          <x:t xml:space="preserve">GHRP-2</x:t>
        </x:is>
      </x:c>
      <x:c r="C30" s="234" t="inlineStr">
        <x:is>
          <x:t xml:space="preserve">GH Secretagogue</x:t>
        </x:is>
      </x:c>
      <x:c r="D30" s="234" t="inlineStr">
        <x:is>
          <x:t xml:space="preserve">~20–30 minutes</x:t>
        </x:is>
      </x:c>
      <x:c r="E30" s="234" t="inlineStr">
        <x:is>
          <x:t xml:space="preserve">GHRP family</x:t>
        </x:is>
      </x:c>
      <x:c r="F30" s="234" t="inlineStr">
        <x:is>
          <x:t xml:space="preserve">SC</x:t>
        </x:is>
      </x:c>
      <x:c r="G30" s="234" t="inlineStr">
        <x:is>
          <x:t xml:space="preserve">Approximate</x:t>
        </x:is>
      </x:c>
    </x:row>
    <x:row r="31">
      <x:c r="A31" s="234" t="inlineStr">
        <x:is>
          <x:t xml:space="preserve">GHRP-6</x:t>
        </x:is>
      </x:c>
      <x:c r="B31" s="234" t="inlineStr">
        <x:is>
          <x:t xml:space="preserve">GHRP-6</x:t>
        </x:is>
      </x:c>
      <x:c r="C31" s="234" t="inlineStr">
        <x:is>
          <x:t xml:space="preserve">GH Secretagogue</x:t>
        </x:is>
      </x:c>
      <x:c r="D31" s="234" t="inlineStr">
        <x:is>
          <x:t xml:space="preserve">~20–30 minutes</x:t>
        </x:is>
      </x:c>
      <x:c r="E31" s="234" t="inlineStr">
        <x:is>
          <x:t xml:space="preserve">GHRP family</x:t>
        </x:is>
      </x:c>
      <x:c r="F31" s="234" t="inlineStr">
        <x:is>
          <x:t xml:space="preserve">SC</x:t>
        </x:is>
      </x:c>
      <x:c r="G31" s="234" t="inlineStr">
        <x:is>
          <x:t xml:space="preserve">Approximate</x:t>
        </x:is>
      </x:c>
    </x:row>
    <x:row r="32">
      <x:c r="A32" s="234" t="inlineStr">
        <x:is>
          <x:t xml:space="preserve">MK-677</x:t>
        </x:is>
      </x:c>
      <x:c r="B32" s="234" t="inlineStr">
        <x:is>
          <x:t xml:space="preserve">Ibutamoren</x:t>
        </x:is>
      </x:c>
      <x:c r="C32" s="234" t="inlineStr">
        <x:is>
          <x:t xml:space="preserve">GH Secretagogue</x:t>
        </x:is>
      </x:c>
      <x:c r="D32" s="234" t="inlineStr">
        <x:is>
          <x:t xml:space="preserve">~24 hours</x:t>
        </x:is>
      </x:c>
      <x:c r="E32" s="234" t="inlineStr">
        <x:is>
          <x:t xml:space="preserve">Non-peptide secretagogue</x:t>
        </x:is>
      </x:c>
      <x:c r="F32" s="234" t="inlineStr">
        <x:is>
          <x:t xml:space="preserve">Oral</x:t>
        </x:is>
      </x:c>
      <x:c r="G32" s="234" t="inlineStr">
        <x:is>
          <x:t xml:space="preserve">Included for tracker reference</x:t>
        </x:is>
      </x:c>
    </x:row>
    <x:row r="33">
      <x:c r="A33" s="234" t="inlineStr">
        <x:is>
          <x:t xml:space="preserve">PEG-MGF</x:t>
        </x:is>
      </x:c>
      <x:c r="B33" s="234" t="inlineStr">
        <x:is>
          <x:t xml:space="preserve">PEG MGF</x:t>
        </x:is>
      </x:c>
      <x:c r="C33" s="234" t="inlineStr">
        <x:is>
          <x:t xml:space="preserve">Growth Factor</x:t>
        </x:is>
      </x:c>
      <x:c r="D33" s="234" t="inlineStr">
        <x:is>
          <x:t xml:space="preserve">~48–72 hours</x:t>
        </x:is>
      </x:c>
      <x:c r="E33" s="234" t="inlineStr">
        <x:is>
          <x:t xml:space="preserve">PEGylated mechano growth factor</x:t>
        </x:is>
      </x:c>
      <x:c r="F33" s="234" t="inlineStr">
        <x:is>
          <x:t xml:space="preserve">SC</x:t>
        </x:is>
      </x:c>
      <x:c r="G33" s="234" t="inlineStr">
        <x:is>
          <x:t xml:space="preserve">Approximate</x:t>
        </x:is>
      </x:c>
    </x:row>
    <x:row r="34">
      <x:c r="A34" s="234" t="inlineStr">
        <x:is>
          <x:t xml:space="preserve">MGF</x:t>
        </x:is>
      </x:c>
      <x:c r="B34" s="234" t="inlineStr">
        <x:is>
          <x:t xml:space="preserve">Mechano Growth Factor</x:t>
        </x:is>
      </x:c>
      <x:c r="C34" s="234" t="inlineStr">
        <x:is>
          <x:t xml:space="preserve">Growth Factor</x:t>
        </x:is>
      </x:c>
      <x:c r="D34" s="234" t="inlineStr">
        <x:is>
          <x:t xml:space="preserve">~5–7 minutes</x:t>
        </x:is>
      </x:c>
      <x:c r="E34" s="234" t="inlineStr">
        <x:is>
          <x:t xml:space="preserve">Short acting splice variant</x:t>
        </x:is>
      </x:c>
      <x:c r="F34" s="234" t="inlineStr">
        <x:is>
          <x:t xml:space="preserve">SC</x:t>
        </x:is>
      </x:c>
      <x:c r="G34" s="234" t="inlineStr">
        <x:is>
          <x:t xml:space="preserve">Estimated</x:t>
        </x:is>
      </x:c>
    </x:row>
    <x:row r="35">
      <x:c r="A35" s="234" t="inlineStr">
        <x:is>
          <x:t xml:space="preserve">IGF-1 LR3</x:t>
        </x:is>
      </x:c>
      <x:c r="B35" s="234" t="inlineStr">
        <x:is>
          <x:t xml:space="preserve">LR3</x:t>
        </x:is>
      </x:c>
      <x:c r="C35" s="234" t="inlineStr">
        <x:is>
          <x:t xml:space="preserve">Growth Factor</x:t>
        </x:is>
      </x:c>
      <x:c r="D35" s="234" t="inlineStr">
        <x:is>
          <x:t xml:space="preserve">~20–30 hours</x:t>
        </x:is>
      </x:c>
      <x:c r="E35" s="234" t="inlineStr">
        <x:is>
          <x:t xml:space="preserve">Longer acting IGF-1 analog</x:t>
        </x:is>
      </x:c>
      <x:c r="F35" s="234" t="inlineStr">
        <x:is>
          <x:t xml:space="preserve">SC</x:t>
        </x:is>
      </x:c>
      <x:c r="G35" s="234" t="inlineStr">
        <x:is>
          <x:t xml:space="preserve">Approximate</x:t>
        </x:is>
      </x:c>
    </x:row>
    <x:row r="36">
      <x:c r="A36" s="234" t="inlineStr">
        <x:is>
          <x:t xml:space="preserve">IGF-1 DES</x:t>
        </x:is>
      </x:c>
      <x:c r="B36" s="234" t="inlineStr">
        <x:is>
          <x:t xml:space="preserve">DES</x:t>
        </x:is>
      </x:c>
      <x:c r="C36" s="234" t="inlineStr">
        <x:is>
          <x:t xml:space="preserve">Growth Factor</x:t>
        </x:is>
      </x:c>
      <x:c r="D36" s="234" t="inlineStr">
        <x:is>
          <x:t xml:space="preserve">~20–30 minutes</x:t>
        </x:is>
      </x:c>
      <x:c r="E36" s="234" t="inlineStr">
        <x:is>
          <x:t xml:space="preserve">Short IGF-1 variant</x:t>
        </x:is>
      </x:c>
      <x:c r="F36" s="234" t="inlineStr">
        <x:is>
          <x:t xml:space="preserve">SC</x:t>
        </x:is>
      </x:c>
      <x:c r="G36" s="234" t="inlineStr">
        <x:is>
          <x:t xml:space="preserve">Approximate</x:t>
        </x:is>
      </x:c>
    </x:row>
    <x:row r="37">
      <x:c r="A37" s="234" t="inlineStr">
        <x:is>
          <x:t xml:space="preserve">Follistatin-344</x:t>
        </x:is>
      </x:c>
      <x:c r="B37" s="234" t="inlineStr">
        <x:is>
          <x:t xml:space="preserve">FST-344</x:t>
        </x:is>
      </x:c>
      <x:c r="C37" s="234" t="inlineStr">
        <x:is>
          <x:t xml:space="preserve">Myostatin / Growth</x:t>
        </x:is>
      </x:c>
      <x:c r="D37" s="234" t="inlineStr">
        <x:is>
          <x:t xml:space="preserve">~12–24 hours</x:t>
        </x:is>
      </x:c>
      <x:c r="E37" s="234" t="inlineStr">
        <x:is>
          <x:t xml:space="preserve">Myostatin pathway research</x:t>
        </x:is>
      </x:c>
      <x:c r="F37" s="234" t="inlineStr">
        <x:is>
          <x:t xml:space="preserve">SC</x:t>
        </x:is>
      </x:c>
      <x:c r="G37" s="234" t="inlineStr">
        <x:is>
          <x:t xml:space="preserve">Estimated</x:t>
        </x:is>
      </x:c>
    </x:row>
    <x:row r="38">
      <x:c r="A38" s="234" t="inlineStr">
        <x:is>
          <x:t xml:space="preserve">Follistatin-315</x:t>
        </x:is>
      </x:c>
      <x:c r="B38" s="234" t="inlineStr">
        <x:is>
          <x:t xml:space="preserve">FST-315</x:t>
        </x:is>
      </x:c>
      <x:c r="C38" s="234" t="inlineStr">
        <x:is>
          <x:t xml:space="preserve">Myostatin / Growth</x:t>
        </x:is>
      </x:c>
      <x:c r="D38" s="234" t="inlineStr">
        <x:is>
          <x:t xml:space="preserve">~24–48 hours</x:t>
        </x:is>
      </x:c>
      <x:c r="E38" s="234" t="inlineStr">
        <x:is>
          <x:t xml:space="preserve">Myostatin pathway research</x:t>
        </x:is>
      </x:c>
      <x:c r="F38" s="234" t="inlineStr">
        <x:is>
          <x:t xml:space="preserve">SC</x:t>
        </x:is>
      </x:c>
      <x:c r="G38" s="234" t="inlineStr">
        <x:is>
          <x:t xml:space="preserve">Estimated</x:t>
        </x:is>
      </x:c>
    </x:row>
    <x:row r="39">
      <x:c r="A39" s="234" t="inlineStr">
        <x:is>
          <x:t xml:space="preserve">Thymosin Alpha-1</x:t>
        </x:is>
      </x:c>
      <x:c r="B39" s="234" t="inlineStr">
        <x:is>
          <x:t xml:space="preserve">TA1</x:t>
        </x:is>
      </x:c>
      <x:c r="C39" s="234" t="inlineStr">
        <x:is>
          <x:t xml:space="preserve">Immune</x:t>
        </x:is>
      </x:c>
      <x:c r="D39" s="234" t="inlineStr">
        <x:is>
          <x:t xml:space="preserve">~2 hours</x:t>
        </x:is>
      </x:c>
      <x:c r="E39" s="234" t="inlineStr">
        <x:is>
          <x:t xml:space="preserve">Immune modulating peptide</x:t>
        </x:is>
      </x:c>
      <x:c r="F39" s="234" t="inlineStr">
        <x:is>
          <x:t xml:space="preserve">SC</x:t>
        </x:is>
      </x:c>
      <x:c r="G39" s="234" t="inlineStr">
        <x:is>
          <x:t xml:space="preserve">Approximate</x:t>
        </x:is>
      </x:c>
    </x:row>
    <x:row r="40">
      <x:c r="A40" s="234" t="inlineStr">
        <x:is>
          <x:t xml:space="preserve">LL-37</x:t>
        </x:is>
      </x:c>
      <x:c r="B40" s="234" t="inlineStr">
        <x:is>
          <x:t xml:space="preserve">Cathelicidin</x:t>
        </x:is>
      </x:c>
      <x:c r="C40" s="234" t="inlineStr">
        <x:is>
          <x:t xml:space="preserve">Antimicrobial</x:t>
        </x:is>
      </x:c>
      <x:c r="D40" s="234" t="inlineStr">
        <x:is>
          <x:t xml:space="preserve">~1–2 hours</x:t>
        </x:is>
      </x:c>
      <x:c r="E40" s="234" t="inlineStr">
        <x:is>
          <x:t xml:space="preserve">Antimicrobial peptide</x:t>
        </x:is>
      </x:c>
      <x:c r="F40" s="234" t="inlineStr">
        <x:is>
          <x:t xml:space="preserve">Topical/SC</x:t>
        </x:is>
      </x:c>
      <x:c r="G40" s="234" t="inlineStr">
        <x:is>
          <x:t xml:space="preserve">Estimated</x:t>
        </x:is>
      </x:c>
    </x:row>
    <x:row r="41">
      <x:c r="A41" s="234" t="inlineStr">
        <x:is>
          <x:t xml:space="preserve">KPV</x:t>
        </x:is>
      </x:c>
      <x:c r="B41" s="234" t="inlineStr">
        <x:is>
          <x:t xml:space="preserve">KPV</x:t>
        </x:is>
      </x:c>
      <x:c r="C41" s="234" t="inlineStr">
        <x:is>
          <x:t xml:space="preserve">Anti-inflammatory</x:t>
        </x:is>
      </x:c>
      <x:c r="D41" s="234" t="inlineStr">
        <x:is>
          <x:t xml:space="preserve">~1–3 hours</x:t>
        </x:is>
      </x:c>
      <x:c r="E41" s="234" t="inlineStr">
        <x:is>
          <x:t xml:space="preserve">Alpha-MSH fragment</x:t>
        </x:is>
      </x:c>
      <x:c r="F41" s="234" t="inlineStr">
        <x:is>
          <x:t xml:space="preserve">Oral/SC</x:t>
        </x:is>
      </x:c>
      <x:c r="G41" s="234" t="inlineStr">
        <x:is>
          <x:t xml:space="preserve">Estimated</x:t>
        </x:is>
      </x:c>
    </x:row>
    <x:row r="42">
      <x:c r="A42" s="234" t="inlineStr">
        <x:is>
          <x:t xml:space="preserve">Epitalon</x:t>
        </x:is>
      </x:c>
      <x:c r="B42" s="234" t="inlineStr">
        <x:is>
          <x:t xml:space="preserve">Epithalon</x:t>
        </x:is>
      </x:c>
      <x:c r="C42" s="234" t="inlineStr">
        <x:is>
          <x:t xml:space="preserve">Longevity</x:t>
        </x:is>
      </x:c>
      <x:c r="D42" s="234" t="inlineStr">
        <x:is>
          <x:t xml:space="preserve">~2–4 hours</x:t>
        </x:is>
      </x:c>
      <x:c r="E42" s="234" t="inlineStr">
        <x:is>
          <x:t xml:space="preserve">Tetrapeptide</x:t>
        </x:is>
      </x:c>
      <x:c r="F42" s="234" t="inlineStr">
        <x:is>
          <x:t xml:space="preserve">SC</x:t>
        </x:is>
      </x:c>
      <x:c r="G42" s="234" t="inlineStr">
        <x:is>
          <x:t xml:space="preserve">Estimated</x:t>
        </x:is>
      </x:c>
    </x:row>
    <x:row r="43">
      <x:c r="A43" s="234" t="inlineStr">
        <x:is>
          <x:t xml:space="preserve">Pinealon</x:t>
        </x:is>
      </x:c>
      <x:c r="B43" s="234" t="inlineStr">
        <x:is>
          <x:t xml:space="preserve">Pinealon</x:t>
        </x:is>
      </x:c>
      <x:c r="C43" s="234" t="inlineStr">
        <x:is>
          <x:t xml:space="preserve">Bioregulator</x:t>
        </x:is>
      </x:c>
      <x:c r="D43" s="234" t="inlineStr">
        <x:is>
          <x:t xml:space="preserve">~1–3 hours</x:t>
        </x:is>
      </x:c>
      <x:c r="E43" s="234" t="inlineStr">
        <x:is>
          <x:t xml:space="preserve">Short peptide bioregulator</x:t>
        </x:is>
      </x:c>
      <x:c r="F43" s="234" t="inlineStr">
        <x:is>
          <x:t xml:space="preserve">SC</x:t>
        </x:is>
      </x:c>
      <x:c r="G43" s="234" t="inlineStr">
        <x:is>
          <x:t xml:space="preserve">Estimated</x:t>
        </x:is>
      </x:c>
    </x:row>
    <x:row r="44">
      <x:c r="A44" s="234" t="inlineStr">
        <x:is>
          <x:t xml:space="preserve">Vesugen</x:t>
        </x:is>
      </x:c>
      <x:c r="B44" s="234" t="inlineStr">
        <x:is>
          <x:t xml:space="preserve">Vesugen</x:t>
        </x:is>
      </x:c>
      <x:c r="C44" s="234" t="inlineStr">
        <x:is>
          <x:t xml:space="preserve">Bioregulator</x:t>
        </x:is>
      </x:c>
      <x:c r="D44" s="234" t="inlineStr">
        <x:is>
          <x:t xml:space="preserve">~1–3 hours</x:t>
        </x:is>
      </x:c>
      <x:c r="E44" s="234" t="inlineStr">
        <x:is>
          <x:t xml:space="preserve">Short peptide bioregulator</x:t>
        </x:is>
      </x:c>
      <x:c r="F44" s="234" t="inlineStr">
        <x:is>
          <x:t xml:space="preserve">SC</x:t>
        </x:is>
      </x:c>
      <x:c r="G44" s="234" t="inlineStr">
        <x:is>
          <x:t xml:space="preserve">Estimated</x:t>
        </x:is>
      </x:c>
    </x:row>
    <x:row r="45">
      <x:c r="A45" s="234" t="inlineStr">
        <x:is>
          <x:t xml:space="preserve">Cortexin</x:t>
        </x:is>
      </x:c>
      <x:c r="B45" s="234" t="inlineStr">
        <x:is>
          <x:t xml:space="preserve">Cortexin</x:t>
        </x:is>
      </x:c>
      <x:c r="C45" s="234" t="inlineStr">
        <x:is>
          <x:t xml:space="preserve">Nootropic complex</x:t>
        </x:is>
      </x:c>
      <x:c r="D45" s="234" t="inlineStr">
        <x:is>
          <x:t xml:space="preserve">~2–4 hours</x:t>
        </x:is>
      </x:c>
      <x:c r="E45" s="234" t="inlineStr">
        <x:is>
          <x:t xml:space="preserve">Peptide complex</x:t>
        </x:is>
      </x:c>
      <x:c r="F45" s="234" t="inlineStr">
        <x:is>
          <x:t xml:space="preserve">IM</x:t>
        </x:is>
      </x:c>
      <x:c r="G45" s="234" t="inlineStr">
        <x:is>
          <x:t xml:space="preserve">Estimated</x:t>
        </x:is>
      </x:c>
    </x:row>
    <x:row r="46">
      <x:c r="A46" s="234" t="inlineStr">
        <x:is>
          <x:t xml:space="preserve">Selank</x:t>
        </x:is>
      </x:c>
      <x:c r="B46" s="234" t="inlineStr">
        <x:is>
          <x:t xml:space="preserve">Selank</x:t>
        </x:is>
      </x:c>
      <x:c r="C46" s="234" t="inlineStr">
        <x:is>
          <x:t xml:space="preserve">Nootropic</x:t>
        </x:is>
      </x:c>
      <x:c r="D46" s="234" t="inlineStr">
        <x:is>
          <x:t xml:space="preserve">~5–15 minutes</x:t>
        </x:is>
      </x:c>
      <x:c r="E46" s="234" t="inlineStr">
        <x:is>
          <x:t xml:space="preserve">Effects may last much longer</x:t>
        </x:is>
      </x:c>
      <x:c r="F46" s="234" t="inlineStr">
        <x:is>
          <x:t xml:space="preserve">Nasal</x:t>
        </x:is>
      </x:c>
      <x:c r="G46" s="234" t="inlineStr">
        <x:is>
          <x:t xml:space="preserve">Approximate</x:t>
        </x:is>
      </x:c>
    </x:row>
    <x:row r="47">
      <x:c r="A47" s="234" t="inlineStr">
        <x:is>
          <x:t xml:space="preserve">Semax</x:t>
        </x:is>
      </x:c>
      <x:c r="B47" s="234" t="inlineStr">
        <x:is>
          <x:t xml:space="preserve">Semax</x:t>
        </x:is>
      </x:c>
      <x:c r="C47" s="234" t="inlineStr">
        <x:is>
          <x:t xml:space="preserve">Nootropic</x:t>
        </x:is>
      </x:c>
      <x:c r="D47" s="234" t="inlineStr">
        <x:is>
          <x:t xml:space="preserve">~10–20 minutes</x:t>
        </x:is>
      </x:c>
      <x:c r="E47" s="234" t="inlineStr">
        <x:is>
          <x:t xml:space="preserve">Effects may last much longer</x:t>
        </x:is>
      </x:c>
      <x:c r="F47" s="234" t="inlineStr">
        <x:is>
          <x:t xml:space="preserve">Nasal</x:t>
        </x:is>
      </x:c>
      <x:c r="G47" s="234" t="inlineStr">
        <x:is>
          <x:t xml:space="preserve">Approximate</x:t>
        </x:is>
      </x:c>
    </x:row>
    <x:row r="48">
      <x:c r="A48" s="234" t="inlineStr">
        <x:is>
          <x:t xml:space="preserve">NA Semax Amidate</x:t>
        </x:is>
      </x:c>
      <x:c r="B48" s="234" t="inlineStr">
        <x:is>
          <x:t xml:space="preserve">NASA</x:t>
        </x:is>
      </x:c>
      <x:c r="C48" s="234" t="inlineStr">
        <x:is>
          <x:t xml:space="preserve">Nootropic</x:t>
        </x:is>
      </x:c>
      <x:c r="D48" s="234" t="inlineStr">
        <x:is>
          <x:t xml:space="preserve">~1–2 hours</x:t>
        </x:is>
      </x:c>
      <x:c r="E48" s="234" t="inlineStr">
        <x:is>
          <x:t xml:space="preserve">Modified Semax</x:t>
        </x:is>
      </x:c>
      <x:c r="F48" s="234" t="inlineStr">
        <x:is>
          <x:t xml:space="preserve">Nasal</x:t>
        </x:is>
      </x:c>
      <x:c r="G48" s="234" t="inlineStr">
        <x:is>
          <x:t xml:space="preserve">Estimated</x:t>
        </x:is>
      </x:c>
    </x:row>
    <x:row r="49">
      <x:c r="A49" s="234" t="inlineStr">
        <x:is>
          <x:t xml:space="preserve">NA Selank Amidate</x:t>
        </x:is>
      </x:c>
      <x:c r="B49" s="234" t="inlineStr">
        <x:is>
          <x:t xml:space="preserve">NASA/Selank</x:t>
        </x:is>
      </x:c>
      <x:c r="C49" s="234" t="inlineStr">
        <x:is>
          <x:t xml:space="preserve">Nootropic</x:t>
        </x:is>
      </x:c>
      <x:c r="D49" s="234" t="inlineStr">
        <x:is>
          <x:t xml:space="preserve">~1–2 hours</x:t>
        </x:is>
      </x:c>
      <x:c r="E49" s="234" t="inlineStr">
        <x:is>
          <x:t xml:space="preserve">Modified Selank</x:t>
        </x:is>
      </x:c>
      <x:c r="F49" s="234" t="inlineStr">
        <x:is>
          <x:t xml:space="preserve">Nasal</x:t>
        </x:is>
      </x:c>
      <x:c r="G49" s="234" t="inlineStr">
        <x:is>
          <x:t xml:space="preserve">Estimated</x:t>
        </x:is>
      </x:c>
    </x:row>
    <x:row r="50">
      <x:c r="A50" s="234" t="inlineStr">
        <x:is>
          <x:t xml:space="preserve">Dihexa</x:t>
        </x:is>
      </x:c>
      <x:c r="B50" s="234" t="inlineStr">
        <x:is>
          <x:t xml:space="preserve">Dihexa</x:t>
        </x:is>
      </x:c>
      <x:c r="C50" s="234" t="inlineStr">
        <x:is>
          <x:t xml:space="preserve">Nootropic</x:t>
        </x:is>
      </x:c>
      <x:c r="D50" s="234" t="inlineStr">
        <x:is>
          <x:t xml:space="preserve">~7–14 days</x:t>
        </x:is>
      </x:c>
      <x:c r="E50" s="234" t="inlineStr">
        <x:is>
          <x:t xml:space="preserve">Very limited public PK data</x:t>
        </x:is>
      </x:c>
      <x:c r="F50" s="234" t="inlineStr">
        <x:is>
          <x:t xml:space="preserve">Oral</x:t>
        </x:is>
      </x:c>
      <x:c r="G50" s="234" t="inlineStr">
        <x:is>
          <x:t xml:space="preserve">Estimated/limited data</x:t>
        </x:is>
      </x:c>
    </x:row>
    <x:row r="51">
      <x:c r="A51" s="234" t="inlineStr">
        <x:is>
          <x:t xml:space="preserve">VIP</x:t>
        </x:is>
      </x:c>
      <x:c r="B51" s="234" t="inlineStr">
        <x:is>
          <x:t xml:space="preserve">VIP</x:t>
        </x:is>
      </x:c>
      <x:c r="C51" s="234" t="inlineStr">
        <x:is>
          <x:t xml:space="preserve">Neuropeptide</x:t>
        </x:is>
      </x:c>
      <x:c r="D51" s="234" t="inlineStr">
        <x:is>
          <x:t xml:space="preserve">~1–2 minutes</x:t>
        </x:is>
      </x:c>
      <x:c r="E51" s="234" t="inlineStr">
        <x:is>
          <x:t xml:space="preserve">Very short plasma half-life</x:t>
        </x:is>
      </x:c>
      <x:c r="F51" s="234" t="inlineStr">
        <x:is>
          <x:t xml:space="preserve">Nasal/Injection</x:t>
        </x:is>
      </x:c>
      <x:c r="G51" s="234" t="inlineStr">
        <x:is>
          <x:t xml:space="preserve">Approximate</x:t>
        </x:is>
      </x:c>
    </x:row>
    <x:row r="52">
      <x:c r="A52" s="234" t="inlineStr">
        <x:is>
          <x:t xml:space="preserve">Oxytocin</x:t>
        </x:is>
      </x:c>
      <x:c r="B52" s="234" t="inlineStr">
        <x:is>
          <x:t xml:space="preserve">OXT</x:t>
        </x:is>
      </x:c>
      <x:c r="C52" s="234" t="inlineStr">
        <x:is>
          <x:t xml:space="preserve">Hormonal</x:t>
        </x:is>
      </x:c>
      <x:c r="D52" s="234" t="inlineStr">
        <x:is>
          <x:t xml:space="preserve">~3–5 minutes</x:t>
        </x:is>
      </x:c>
      <x:c r="E52" s="234" t="inlineStr">
        <x:is>
          <x:t xml:space="preserve">Peptide hormone</x:t>
        </x:is>
      </x:c>
      <x:c r="F52" s="234" t="inlineStr">
        <x:is>
          <x:t xml:space="preserve">Nasal/Injection</x:t>
        </x:is>
      </x:c>
      <x:c r="G52" s="234" t="inlineStr">
        <x:is>
          <x:t xml:space="preserve">Approximate</x:t>
        </x:is>
      </x:c>
    </x:row>
    <x:row r="53">
      <x:c r="A53" s="234" t="inlineStr">
        <x:is>
          <x:t xml:space="preserve">Desmopressin</x:t>
        </x:is>
      </x:c>
      <x:c r="B53" s="234" t="inlineStr">
        <x:is>
          <x:t xml:space="preserve">DDAVP</x:t>
        </x:is>
      </x:c>
      <x:c r="C53" s="234" t="inlineStr">
        <x:is>
          <x:t xml:space="preserve">Hormonal</x:t>
        </x:is>
      </x:c>
      <x:c r="D53" s="234" t="inlineStr">
        <x:is>
          <x:t xml:space="preserve">~2–3 hours</x:t>
        </x:is>
      </x:c>
      <x:c r="E53" s="234" t="inlineStr">
        <x:is>
          <x:t xml:space="preserve">Vasopressin analog</x:t>
        </x:is>
      </x:c>
      <x:c r="F53" s="234" t="inlineStr">
        <x:is>
          <x:t xml:space="preserve">Nasal/Oral/Injection</x:t>
        </x:is>
      </x:c>
      <x:c r="G53" s="234" t="inlineStr">
        <x:is>
          <x:t xml:space="preserve">Approximate</x:t>
        </x:is>
      </x:c>
    </x:row>
    <x:row r="54">
      <x:c r="A54" s="234" t="inlineStr">
        <x:is>
          <x:t xml:space="preserve">Kisspeptin-10</x:t>
        </x:is>
      </x:c>
      <x:c r="B54" s="234" t="inlineStr">
        <x:is>
          <x:t xml:space="preserve">KP-10</x:t>
        </x:is>
      </x:c>
      <x:c r="C54" s="234" t="inlineStr">
        <x:is>
          <x:t xml:space="preserve">Hormonal</x:t>
        </x:is>
      </x:c>
      <x:c r="D54" s="234" t="inlineStr">
        <x:is>
          <x:t xml:space="preserve">~20–30 minutes</x:t>
        </x:is>
      </x:c>
      <x:c r="E54" s="234" t="inlineStr">
        <x:is>
          <x:t xml:space="preserve">Reproductive signaling</x:t>
        </x:is>
      </x:c>
      <x:c r="F54" s="234" t="inlineStr">
        <x:is>
          <x:t xml:space="preserve">SC/IV</x:t>
        </x:is>
      </x:c>
      <x:c r="G54" s="234" t="inlineStr">
        <x:is>
          <x:t xml:space="preserve">Approximate</x:t>
        </x:is>
      </x:c>
    </x:row>
    <x:row r="55">
      <x:c r="A55" s="234" t="inlineStr">
        <x:is>
          <x:t xml:space="preserve">Kisspeptin-54</x:t>
        </x:is>
      </x:c>
      <x:c r="B55" s="234" t="inlineStr">
        <x:is>
          <x:t xml:space="preserve">KP-54</x:t>
        </x:is>
      </x:c>
      <x:c r="C55" s="234" t="inlineStr">
        <x:is>
          <x:t xml:space="preserve">Hormonal</x:t>
        </x:is>
      </x:c>
      <x:c r="D55" s="234" t="inlineStr">
        <x:is>
          <x:t xml:space="preserve">~28–30 hours</x:t>
        </x:is>
      </x:c>
      <x:c r="E55" s="234" t="inlineStr">
        <x:is>
          <x:t xml:space="preserve">Longer acting kisspeptin form</x:t>
        </x:is>
      </x:c>
      <x:c r="F55" s="234" t="inlineStr">
        <x:is>
          <x:t xml:space="preserve">SC/IV</x:t>
        </x:is>
      </x:c>
      <x:c r="G55" s="234" t="inlineStr">
        <x:is>
          <x:t xml:space="preserve">Approximate</x:t>
        </x:is>
      </x:c>
    </x:row>
    <x:row r="56">
      <x:c r="A56" s="234" t="inlineStr">
        <x:is>
          <x:t xml:space="preserve">Melanotan I</x:t>
        </x:is>
      </x:c>
      <x:c r="B56" s="234" t="inlineStr">
        <x:is>
          <x:t xml:space="preserve">MT-1</x:t>
        </x:is>
      </x:c>
      <x:c r="C56" s="234" t="inlineStr">
        <x:is>
          <x:t xml:space="preserve">Melanocortin</x:t>
        </x:is>
      </x:c>
      <x:c r="D56" s="234" t="inlineStr">
        <x:is>
          <x:t xml:space="preserve">~30 hours</x:t>
        </x:is>
      </x:c>
      <x:c r="E56" s="234" t="inlineStr">
        <x:is>
          <x:t xml:space="preserve">Afamelanotide-related</x:t>
        </x:is>
      </x:c>
      <x:c r="F56" s="234" t="inlineStr">
        <x:is>
          <x:t xml:space="preserve">SC</x:t>
        </x:is>
      </x:c>
      <x:c r="G56" s="234" t="inlineStr">
        <x:is>
          <x:t xml:space="preserve">Approximate</x:t>
        </x:is>
      </x:c>
    </x:row>
    <x:row r="57">
      <x:c r="A57" s="234" t="inlineStr">
        <x:is>
          <x:t xml:space="preserve">Melanotan II</x:t>
        </x:is>
      </x:c>
      <x:c r="B57" s="234" t="inlineStr">
        <x:is>
          <x:t xml:space="preserve">MT-2</x:t>
        </x:is>
      </x:c>
      <x:c r="C57" s="234" t="inlineStr">
        <x:is>
          <x:t xml:space="preserve">Melanocortin</x:t>
        </x:is>
      </x:c>
      <x:c r="D57" s="234" t="inlineStr">
        <x:is>
          <x:t xml:space="preserve">~33–36 hours</x:t>
        </x:is>
      </x:c>
      <x:c r="E57" s="234" t="inlineStr">
        <x:is>
          <x:t xml:space="preserve">Melanocortin agonist</x:t>
        </x:is>
      </x:c>
      <x:c r="F57" s="234" t="inlineStr">
        <x:is>
          <x:t xml:space="preserve">SC/Nasal</x:t>
        </x:is>
      </x:c>
      <x:c r="G57" s="234" t="inlineStr">
        <x:is>
          <x:t xml:space="preserve">Approximate</x:t>
        </x:is>
      </x:c>
    </x:row>
    <x:row r="58">
      <x:c r="A58" s="234" t="inlineStr">
        <x:is>
          <x:t xml:space="preserve">PT-141</x:t>
        </x:is>
      </x:c>
      <x:c r="B58" s="234" t="inlineStr">
        <x:is>
          <x:t xml:space="preserve">Bremelanotide</x:t>
        </x:is>
      </x:c>
      <x:c r="C58" s="234" t="inlineStr">
        <x:is>
          <x:t xml:space="preserve">Melanocortin</x:t>
        </x:is>
      </x:c>
      <x:c r="D58" s="234" t="inlineStr">
        <x:is>
          <x:t xml:space="preserve">~2.7 hours</x:t>
        </x:is>
      </x:c>
      <x:c r="E58" s="234" t="inlineStr">
        <x:is>
          <x:t xml:space="preserve">Melanocortin agonist</x:t>
        </x:is>
      </x:c>
      <x:c r="F58" s="234" t="inlineStr">
        <x:is>
          <x:t xml:space="preserve">SC/Nasal</x:t>
        </x:is>
      </x:c>
      <x:c r="G58" s="234" t="inlineStr">
        <x:is>
          <x:t xml:space="preserve">Approximate</x:t>
        </x:is>
      </x:c>
    </x:row>
    <x:row r="59">
      <x:c r="A59" s="234" t="inlineStr">
        <x:is>
          <x:t xml:space="preserve">DSIP</x:t>
        </x:is>
      </x:c>
      <x:c r="B59" s="234" t="inlineStr">
        <x:is>
          <x:t xml:space="preserve">DSIP</x:t>
        </x:is>
      </x:c>
      <x:c r="C59" s="234" t="inlineStr">
        <x:is>
          <x:t xml:space="preserve">Sleep</x:t>
        </x:is>
      </x:c>
      <x:c r="D59" s="234" t="inlineStr">
        <x:is>
          <x:t xml:space="preserve">~15–30 minutes</x:t>
        </x:is>
      </x:c>
      <x:c r="E59" s="234" t="inlineStr">
        <x:is>
          <x:t xml:space="preserve">Delta sleep-inducing peptide</x:t>
        </x:is>
      </x:c>
      <x:c r="F59" s="234" t="inlineStr">
        <x:is>
          <x:t xml:space="preserve">SC</x:t>
        </x:is>
      </x:c>
      <x:c r="G59" s="234" t="inlineStr">
        <x:is>
          <x:t xml:space="preserve">Estimated</x:t>
        </x:is>
      </x:c>
    </x:row>
    <x:row r="60">
      <x:c r="A60" s="234" t="inlineStr">
        <x:is>
          <x:t xml:space="preserve">Glutathione</x:t>
        </x:is>
      </x:c>
      <x:c r="B60" s="234" t="inlineStr">
        <x:is>
          <x:t xml:space="preserve">GSH</x:t>
        </x:is>
      </x:c>
      <x:c r="C60" s="234" t="inlineStr">
        <x:is>
          <x:t xml:space="preserve">Antioxidant</x:t>
        </x:is>
      </x:c>
      <x:c r="D60" s="234" t="inlineStr">
        <x:is>
          <x:t xml:space="preserve">~10–15 minutes</x:t>
        </x:is>
      </x:c>
      <x:c r="E60" s="234" t="inlineStr">
        <x:is>
          <x:t xml:space="preserve">Tripeptide antioxidant</x:t>
        </x:is>
      </x:c>
      <x:c r="F60" s="234" t="inlineStr">
        <x:is>
          <x:t xml:space="preserve">IV/SC</x:t>
        </x:is>
      </x:c>
      <x:c r="G60" s="234" t="inlineStr">
        <x:is>
          <x:t xml:space="preserve">Approximate</x:t>
        </x:is>
      </x:c>
    </x:row>
    <x:row r="61">
      <x:c r="A61" s="234" t="inlineStr">
        <x:is>
          <x:t xml:space="preserve">NAD+</x:t>
        </x:is>
      </x:c>
      <x:c r="B61" s="234" t="inlineStr">
        <x:is>
          <x:t xml:space="preserve">NAD</x:t>
        </x:is>
      </x:c>
      <x:c r="C61" s="234" t="inlineStr">
        <x:is>
          <x:t xml:space="preserve">Metabolic cofactor</x:t>
        </x:is>
      </x:c>
      <x:c r="D61" s="234" t="inlineStr">
        <x:is>
          <x:t xml:space="preserve">~1–2 hours</x:t>
        </x:is>
      </x:c>
      <x:c r="E61" s="234" t="inlineStr">
        <x:is>
          <x:t xml:space="preserve">Cofactor; not peptide</x:t>
        </x:is>
      </x:c>
      <x:c r="F61" s="234" t="inlineStr">
        <x:is>
          <x:t xml:space="preserve">IV/SC</x:t>
        </x:is>
      </x:c>
      <x:c r="G61" s="234" t="inlineStr">
        <x:is>
          <x:t xml:space="preserve">Included for tracker reference</x:t>
        </x:is>
      </x:c>
    </x:row>
    <x:row r="62">
      <x:c r="A62" s="234" t="inlineStr">
        <x:is>
          <x:t xml:space="preserve">ARA-290</x:t>
        </x:is>
      </x:c>
      <x:c r="B62" s="234" t="inlineStr">
        <x:is>
          <x:t xml:space="preserve">Cibinetide</x:t>
        </x:is>
      </x:c>
      <x:c r="C62" s="234" t="inlineStr">
        <x:is>
          <x:t xml:space="preserve">Regenerative</x:t>
        </x:is>
      </x:c>
      <x:c r="D62" s="234" t="inlineStr">
        <x:is>
          <x:t xml:space="preserve">~20 minutes</x:t>
        </x:is>
      </x:c>
      <x:c r="E62" s="234" t="inlineStr">
        <x:is>
          <x:t xml:space="preserve">EPO receptor-derived peptide</x:t>
        </x:is>
      </x:c>
      <x:c r="F62" s="234" t="inlineStr">
        <x:is>
          <x:t xml:space="preserve">SC</x:t>
        </x:is>
      </x:c>
      <x:c r="G62" s="234" t="inlineStr">
        <x:is>
          <x:t xml:space="preserve">Approximate</x:t>
        </x:is>
      </x:c>
    </x:row>
    <x:row r="63">
      <x:c r="A63" s="234" t="inlineStr">
        <x:is>
          <x:t xml:space="preserve">FOXO4-DRI</x:t>
        </x:is>
      </x:c>
      <x:c r="B63" s="234" t="inlineStr">
        <x:is>
          <x:t xml:space="preserve">FOXO4</x:t>
        </x:is>
      </x:c>
      <x:c r="C63" s="234" t="inlineStr">
        <x:is>
          <x:t xml:space="preserve">Senolytic research</x:t>
        </x:is>
      </x:c>
      <x:c r="D63" s="234" t="inlineStr">
        <x:is>
          <x:t xml:space="preserve">~6–12 hours</x:t>
        </x:is>
      </x:c>
      <x:c r="E63" s="234" t="inlineStr">
        <x:is>
          <x:t xml:space="preserve">Limited public PK data</x:t>
        </x:is>
      </x:c>
      <x:c r="F63" s="234" t="inlineStr">
        <x:is>
          <x:t xml:space="preserve">SC</x:t>
        </x:is>
      </x:c>
      <x:c r="G63" s="234" t="inlineStr">
        <x:is>
          <x:t xml:space="preserve">Estimated</x:t>
        </x:is>
      </x:c>
    </x:row>
    <x:row r="64">
      <x:c r="A64" s="234" t="inlineStr">
        <x:is>
          <x:t xml:space="preserve">PNC-27</x:t>
        </x:is>
      </x:c>
      <x:c r="B64" s="234" t="inlineStr">
        <x:is>
          <x:t xml:space="preserve">PNC-27</x:t>
        </x:is>
      </x:c>
      <x:c r="C64" s="234" t="inlineStr">
        <x:is>
          <x:t xml:space="preserve">Oncology research</x:t>
        </x:is>
      </x:c>
      <x:c r="D64" s="234" t="inlineStr">
        <x:is>
          <x:t xml:space="preserve">~1–2 hours</x:t>
        </x:is>
      </x:c>
      <x:c r="E64" s="234" t="inlineStr">
        <x:is>
          <x:t xml:space="preserve">Limited public PK data</x:t>
        </x:is>
      </x:c>
      <x:c r="F64" s="234" t="inlineStr">
        <x:is>
          <x:t xml:space="preserve">SC/IV</x:t>
        </x:is>
      </x:c>
      <x:c r="G64" s="234" t="inlineStr">
        <x:is>
          <x:t xml:space="preserve">Estimated</x:t>
        </x:is>
      </x:c>
    </x:row>
    <x:row r="65">
      <x:c r="A65" s="234" t="inlineStr">
        <x:is>
          <x:t xml:space="preserve">Klotho fragments</x:t>
        </x:is>
      </x:c>
      <x:c r="B65" s="234" t="inlineStr">
        <x:is>
          <x:t xml:space="preserve">Klotho</x:t>
        </x:is>
      </x:c>
      <x:c r="C65" s="234" t="inlineStr">
        <x:is>
          <x:t xml:space="preserve">Longevity</x:t>
        </x:is>
      </x:c>
      <x:c r="D65" s="234" t="inlineStr">
        <x:is>
          <x:t xml:space="preserve">Varies / limited data</x:t>
        </x:is>
      </x:c>
      <x:c r="E65" s="234" t="inlineStr">
        <x:is>
          <x:t xml:space="preserve">Fragment-dependent</x:t>
        </x:is>
      </x:c>
      <x:c r="F65" s="234" t="inlineStr">
        <x:is>
          <x:t xml:space="preserve">SC</x:t>
        </x:is>
      </x:c>
      <x:c r="G65" s="234" t="inlineStr">
        <x:is>
          <x:t xml:space="preserve">Limited data</x:t>
        </x:is>
      </x:c>
    </x:row>
    <x:row r="66">
      <x:c r="A66" s="234" t="inlineStr">
        <x:is>
          <x:t xml:space="preserve">P21</x:t>
        </x:is>
      </x:c>
      <x:c r="B66" s="234" t="inlineStr">
        <x:is>
          <x:t xml:space="preserve">P021</x:t>
        </x:is>
      </x:c>
      <x:c r="C66" s="234" t="inlineStr">
        <x:is>
          <x:t xml:space="preserve">Nootropic</x:t>
        </x:is>
      </x:c>
      <x:c r="D66" s="234" t="inlineStr">
        <x:is>
          <x:t xml:space="preserve">Limited data</x:t>
        </x:is>
      </x:c>
      <x:c r="E66" s="234" t="inlineStr">
        <x:is>
          <x:t xml:space="preserve">Investigational</x:t>
        </x:is>
      </x:c>
      <x:c r="F66" s="234" t="inlineStr">
        <x:is>
          <x:t xml:space="preserve">SC/Oral</x:t>
        </x:is>
      </x:c>
      <x:c r="G66" s="234" t="inlineStr">
        <x:is>
          <x:t xml:space="preserve">Limited data</x:t>
        </x:is>
      </x:c>
    </x:row>
    <x:row r="67">
      <x:c r="A67" s="234" t="inlineStr">
        <x:is>
          <x:t xml:space="preserve">N-Acetyl Epitalon Amidate</x:t>
        </x:is>
      </x:c>
      <x:c r="B67" s="234" t="inlineStr">
        <x:is>
          <x:t xml:space="preserve">NA Epitalon</x:t>
        </x:is>
      </x:c>
      <x:c r="C67" s="234" t="inlineStr">
        <x:is>
          <x:t xml:space="preserve">Longevity</x:t>
        </x:is>
      </x:c>
      <x:c r="D67" s="234" t="inlineStr">
        <x:is>
          <x:t xml:space="preserve">Longer than Epitalon / limited data</x:t>
        </x:is>
      </x:c>
      <x:c r="E67" s="234" t="inlineStr">
        <x:is>
          <x:t xml:space="preserve">Modified peptide</x:t>
        </x:is>
      </x:c>
      <x:c r="F67" s="234" t="inlineStr">
        <x:is>
          <x:t xml:space="preserve">SC</x:t>
        </x:is>
      </x:c>
      <x:c r="G67" s="234" t="inlineStr">
        <x:is>
          <x:t xml:space="preserve">Estimated</x:t>
        </x:is>
      </x:c>
    </x:row>
    <x:row r="68">
      <x:c r="A68" s="234" t="inlineStr">
        <x:is>
          <x:t xml:space="preserve">ACE-031</x:t>
        </x:is>
      </x:c>
      <x:c r="B68" s="234" t="inlineStr">
        <x:is>
          <x:t xml:space="preserve">ACE-031</x:t>
        </x:is>
      </x:c>
      <x:c r="C68" s="234" t="inlineStr">
        <x:is>
          <x:t xml:space="preserve">Myostatin pathway</x:t>
        </x:is>
      </x:c>
      <x:c r="D68" s="234" t="inlineStr">
        <x:is>
          <x:t xml:space="preserve">~10–15 days</x:t>
        </x:is>
      </x:c>
      <x:c r="E68" s="234" t="inlineStr">
        <x:is>
          <x:t xml:space="preserve">Fusion protein/peptide biologic</x:t>
        </x:is>
      </x:c>
      <x:c r="F68" s="234" t="inlineStr">
        <x:is>
          <x:t xml:space="preserve">SC</x:t>
        </x:is>
      </x:c>
      <x:c r="G68" s="234" t="inlineStr">
        <x:is>
          <x:t xml:space="preserve">Approximate</x:t>
        </x:is>
      </x:c>
    </x:row>
    <x:row r="69">
      <x:c r="A69" s="234" t="inlineStr">
        <x:is>
          <x:t xml:space="preserve">Myostatin Propeptide</x:t>
        </x:is>
      </x:c>
      <x:c r="B69" s="234" t="inlineStr">
        <x:is>
          <x:t xml:space="preserve">MSTN Propeptide</x:t>
        </x:is>
      </x:c>
      <x:c r="C69" s="234" t="inlineStr">
        <x:is>
          <x:t xml:space="preserve">Myostatin pathway</x:t>
        </x:is>
      </x:c>
      <x:c r="D69" s="234" t="inlineStr">
        <x:is>
          <x:t xml:space="preserve">Limited data</x:t>
        </x:is>
      </x:c>
      <x:c r="E69" s="234" t="inlineStr">
        <x:is>
          <x:t xml:space="preserve">Research peptide</x:t>
        </x:is>
      </x:c>
      <x:c r="F69" s="234" t="inlineStr">
        <x:is>
          <x:t xml:space="preserve">SC</x:t>
        </x:is>
      </x:c>
      <x:c r="G69" s="234" t="inlineStr">
        <x:is>
          <x:t xml:space="preserve">Limited data</x:t>
        </x:is>
      </x:c>
    </x:row>
    <x:row r="70">
      <x:c r="A70" s="234" t="inlineStr">
        <x:is>
          <x:t xml:space="preserve">HCG</x:t>
        </x:is>
      </x:c>
      <x:c r="B70" s="234" t="inlineStr">
        <x:is>
          <x:t xml:space="preserve">hCG</x:t>
        </x:is>
      </x:c>
      <x:c r="C70" s="234" t="inlineStr">
        <x:is>
          <x:t xml:space="preserve">Hormonal glycoprotein</x:t>
        </x:is>
      </x:c>
      <x:c r="D70" s="234" t="inlineStr">
        <x:is>
          <x:t xml:space="preserve">~24–36 hours</x:t>
        </x:is>
      </x:c>
      <x:c r="E70" s="234" t="inlineStr">
        <x:is>
          <x:t xml:space="preserve">Glycoprotein hormone</x:t>
        </x:is>
      </x:c>
      <x:c r="F70" s="234" t="inlineStr">
        <x:is>
          <x:t xml:space="preserve">SC/IM</x:t>
        </x:is>
      </x:c>
      <x:c r="G70" s="234" t="inlineStr">
        <x:is>
          <x:t xml:space="preserve">Included for tracker reference</x:t>
        </x:is>
      </x:c>
    </x:row>
    <x:row r="71">
      <x:c r="A71" s="234" t="inlineStr">
        <x:is>
          <x:t xml:space="preserve">Gonadorelin</x:t>
        </x:is>
      </x:c>
      <x:c r="B71" s="234" t="inlineStr">
        <x:is>
          <x:t xml:space="preserve">GnRH</x:t>
        </x:is>
      </x:c>
      <x:c r="C71" s="234" t="inlineStr">
        <x:is>
          <x:t xml:space="preserve">Hormonal</x:t>
        </x:is>
      </x:c>
      <x:c r="D71" s="234" t="inlineStr">
        <x:is>
          <x:t xml:space="preserve">~2–4 minutes</x:t>
        </x:is>
      </x:c>
      <x:c r="E71" s="234" t="inlineStr">
        <x:is>
          <x:t xml:space="preserve">GnRH analog</x:t>
        </x:is>
      </x:c>
      <x:c r="F71" s="234" t="inlineStr">
        <x:is>
          <x:t xml:space="preserve">SC/IV</x:t>
        </x:is>
      </x:c>
      <x:c r="G71" s="234" t="inlineStr">
        <x:is>
          <x:t xml:space="preserve">Approximate</x:t>
        </x:is>
      </x:c>
    </x:row>
    <x:row r="72">
      <x:c r="A72" s="234" t="inlineStr">
        <x:is>
          <x:t xml:space="preserve">Triptorelin</x:t>
        </x:is>
      </x:c>
      <x:c r="B72" s="234" t="inlineStr">
        <x:is>
          <x:t xml:space="preserve">GnRH agonist</x:t>
        </x:is>
      </x:c>
      <x:c r="C72" s="234" t="inlineStr">
        <x:is>
          <x:t xml:space="preserve">Hormonal</x:t>
        </x:is>
      </x:c>
      <x:c r="D72" s="234" t="inlineStr">
        <x:is>
          <x:t xml:space="preserve">~3–5 hours</x:t>
        </x:is>
      </x:c>
      <x:c r="E72" s="234" t="inlineStr">
        <x:is>
          <x:t xml:space="preserve">Formulation dependent</x:t>
        </x:is>
      </x:c>
      <x:c r="F72" s="234" t="inlineStr">
        <x:is>
          <x:t xml:space="preserve">SC/IM</x:t>
        </x:is>
      </x:c>
      <x:c r="G72" s="234" t="inlineStr">
        <x:is>
          <x:t xml:space="preserve">Approximate</x:t>
        </x:is>
      </x:c>
    </x:row>
    <x:row r="73">
      <x:c r="A73" s="234" t="inlineStr">
        <x:is>
          <x:t xml:space="preserve">Buserelin</x:t>
        </x:is>
      </x:c>
      <x:c r="B73" s="234" t="inlineStr">
        <x:is>
          <x:t xml:space="preserve">GnRH agonist</x:t>
        </x:is>
      </x:c>
      <x:c r="C73" s="234" t="inlineStr">
        <x:is>
          <x:t xml:space="preserve">Hormonal</x:t>
        </x:is>
      </x:c>
      <x:c r="D73" s="234" t="inlineStr">
        <x:is>
          <x:t xml:space="preserve">~1–2 hours</x:t>
        </x:is>
      </x:c>
      <x:c r="E73" s="234" t="inlineStr">
        <x:is>
          <x:t xml:space="preserve">Formulation dependent</x:t>
        </x:is>
      </x:c>
      <x:c r="F73" s="234" t="inlineStr">
        <x:is>
          <x:t xml:space="preserve">Nasal/SC</x:t>
        </x:is>
      </x:c>
      <x:c r="G73" s="234" t="inlineStr">
        <x:is>
          <x:t xml:space="preserve">Approximate</x:t>
        </x:is>
      </x:c>
    </x:row>
    <x:row r="74">
      <x:c r="A74" s="234" t="inlineStr">
        <x:is>
          <x:t xml:space="preserve">Gonadorelin Acetate</x:t>
        </x:is>
      </x:c>
      <x:c r="B74" s="234" t="inlineStr">
        <x:is>
          <x:t xml:space="preserve">GnRH acetate</x:t>
        </x:is>
      </x:c>
      <x:c r="C74" s="234" t="inlineStr">
        <x:is>
          <x:t xml:space="preserve">Hormonal</x:t>
        </x:is>
      </x:c>
      <x:c r="D74" s="234" t="inlineStr">
        <x:is>
          <x:t xml:space="preserve">~2–4 minutes</x:t>
        </x:is>
      </x:c>
      <x:c r="E74" s="234" t="inlineStr">
        <x:is>
          <x:t xml:space="preserve">GnRH analog</x:t>
        </x:is>
      </x:c>
      <x:c r="F74" s="234" t="inlineStr">
        <x:is>
          <x:t xml:space="preserve">SC/IV</x:t>
        </x:is>
      </x:c>
      <x:c r="G74" s="234" t="inlineStr">
        <x:is>
          <x:t xml:space="preserve">Approximate</x:t>
        </x:is>
      </x:c>
    </x:row>
    <x:row r="75">
      <x:c r="A75" s="234" t="inlineStr">
        <x:is>
          <x:t xml:space="preserve">Nesiritide</x:t>
        </x:is>
      </x:c>
      <x:c r="B75" s="234" t="inlineStr">
        <x:is>
          <x:t xml:space="preserve">BNP</x:t>
        </x:is>
      </x:c>
      <x:c r="C75" s="234" t="inlineStr">
        <x:is>
          <x:t xml:space="preserve">Cardiac peptide</x:t>
        </x:is>
      </x:c>
      <x:c r="D75" s="234" t="inlineStr">
        <x:is>
          <x:t xml:space="preserve">~18 minutes</x:t>
        </x:is>
      </x:c>
      <x:c r="E75" s="234" t="inlineStr">
        <x:is>
          <x:t xml:space="preserve">Recombinant BNP</x:t>
        </x:is>
      </x:c>
      <x:c r="F75" s="234" t="inlineStr">
        <x:is>
          <x:t xml:space="preserve">IV</x:t>
        </x:is>
      </x:c>
      <x:c r="G75" s="234" t="inlineStr">
        <x:is>
          <x:t xml:space="preserve">Approximate</x:t>
        </x:is>
      </x:c>
    </x:row>
    <x:row r="76">
      <x:c r="A76" s="234" t="inlineStr">
        <x:is>
          <x:t xml:space="preserve">Anamorelin</x:t>
        </x:is>
      </x:c>
      <x:c r="B76" s="234" t="inlineStr">
        <x:is>
          <x:t xml:space="preserve">Anamorelin</x:t>
        </x:is>
      </x:c>
      <x:c r="C76" s="234" t="inlineStr">
        <x:is>
          <x:t xml:space="preserve">Ghrelin agonist</x:t>
        </x:is>
      </x:c>
      <x:c r="D76" s="234" t="inlineStr">
        <x:is>
          <x:t xml:space="preserve">~7 hours</x:t>
        </x:is>
      </x:c>
      <x:c r="E76" s="234" t="inlineStr">
        <x:is>
          <x:t xml:space="preserve">Non-peptide ghrelin agonist</x:t>
        </x:is>
      </x:c>
      <x:c r="F76" s="234" t="inlineStr">
        <x:is>
          <x:t xml:space="preserve">Oral</x:t>
        </x:is>
      </x:c>
      <x:c r="G76" s="234" t="inlineStr">
        <x:is>
          <x:t xml:space="preserve">Included for tracker reference</x:t>
        </x:is>
      </x:c>
    </x:row>
    <x:row r="77">
      <x:c r="A77" s="234" t="inlineStr">
        <x:is>
          <x:t xml:space="preserve">Abaloparatide</x:t>
        </x:is>
      </x:c>
      <x:c r="B77" s="234" t="inlineStr">
        <x:is>
          <x:t xml:space="preserve">ABL</x:t>
        </x:is>
      </x:c>
      <x:c r="C77" s="234" t="inlineStr">
        <x:is>
          <x:t xml:space="preserve">PTHrP analog</x:t>
        </x:is>
      </x:c>
      <x:c r="D77" s="234" t="inlineStr">
        <x:is>
          <x:t xml:space="preserve">~1.7 hours</x:t>
        </x:is>
      </x:c>
      <x:c r="E77" s="234" t="inlineStr">
        <x:is>
          <x:t xml:space="preserve">Bone-related peptide analog</x:t>
        </x:is>
      </x:c>
      <x:c r="F77" s="234" t="inlineStr">
        <x:is>
          <x:t xml:space="preserve">SC</x:t>
        </x:is>
      </x:c>
      <x:c r="G77" s="234" t="inlineStr">
        <x:is>
          <x:t xml:space="preserve">Approximate</x:t>
        </x:is>
      </x:c>
    </x:row>
    <x:row r="78">
      <x:c r="A78" s="234" t="inlineStr">
        <x:is>
          <x:t xml:space="preserve">Teriparatide</x:t>
        </x:is>
      </x:c>
      <x:c r="B78" s="234" t="inlineStr">
        <x:is>
          <x:t xml:space="preserve">PTH 1-34</x:t>
        </x:is>
      </x:c>
      <x:c r="C78" s="234" t="inlineStr">
        <x:is>
          <x:t xml:space="preserve">PTH analog</x:t>
        </x:is>
      </x:c>
      <x:c r="D78" s="234" t="inlineStr">
        <x:is>
          <x:t xml:space="preserve">~1 hour</x:t>
        </x:is>
      </x:c>
      <x:c r="E78" s="234" t="inlineStr">
        <x:is>
          <x:t xml:space="preserve">Bone-related peptide analog</x:t>
        </x:is>
      </x:c>
      <x:c r="F78" s="234" t="inlineStr">
        <x:is>
          <x:t xml:space="preserve">SC</x:t>
        </x:is>
      </x:c>
      <x:c r="G78" s="234" t="inlineStr">
        <x:is>
          <x:t xml:space="preserve">Approximate</x:t>
        </x:is>
      </x:c>
    </x:row>
    <x:row r="79">
      <x:c r="A79" s="234" t="inlineStr">
        <x:is>
          <x:t xml:space="preserve">Calcitonin Salmon</x:t>
        </x:is>
      </x:c>
      <x:c r="B79" s="234" t="inlineStr">
        <x:is>
          <x:t xml:space="preserve">Calcitonin</x:t>
        </x:is>
      </x:c>
      <x:c r="C79" s="234" t="inlineStr">
        <x:is>
          <x:t xml:space="preserve">Hormonal</x:t>
        </x:is>
      </x:c>
      <x:c r="D79" s="234" t="inlineStr">
        <x:is>
          <x:t xml:space="preserve">~43 minutes</x:t>
        </x:is>
      </x:c>
      <x:c r="E79" s="234" t="inlineStr">
        <x:is>
          <x:t xml:space="preserve">Peptide hormone analog</x:t>
        </x:is>
      </x:c>
      <x:c r="F79" s="234" t="inlineStr">
        <x:is>
          <x:t xml:space="preserve">Nasal/SC</x:t>
        </x:is>
      </x:c>
      <x:c r="G79" s="234" t="inlineStr">
        <x:is>
          <x:t xml:space="preserve">Approximate</x:t>
        </x:is>
      </x:c>
    </x:row>
    <x:row r="80">
      <x:c r="A80" s="234" t="inlineStr">
        <x:is>
          <x:t xml:space="preserve">Pramlintide</x:t>
        </x:is>
      </x:c>
      <x:c r="B80" s="234" t="inlineStr">
        <x:is>
          <x:t xml:space="preserve">Symlin</x:t>
        </x:is>
      </x:c>
      <x:c r="C80" s="234" t="inlineStr">
        <x:is>
          <x:t xml:space="preserve">Amylin analog</x:t>
        </x:is>
      </x:c>
      <x:c r="D80" s="234" t="inlineStr">
        <x:is>
          <x:t xml:space="preserve">~48 minutes</x:t>
        </x:is>
      </x:c>
      <x:c r="E80" s="234" t="inlineStr">
        <x:is>
          <x:t xml:space="preserve">Amylin analog</x:t>
        </x:is>
      </x:c>
      <x:c r="F80" s="234" t="inlineStr">
        <x:is>
          <x:t xml:space="preserve">SC</x:t>
        </x:is>
      </x:c>
      <x:c r="G80" s="234" t="inlineStr">
        <x:is>
          <x:t xml:space="preserve">Approximate</x:t>
        </x:is>
      </x:c>
    </x:row>
    <x:row r="81">
      <x:c r="A81" s="234" t="inlineStr">
        <x:is>
          <x:t xml:space="preserve">Amylin</x:t>
        </x:is>
      </x:c>
      <x:c r="B81" s="234" t="inlineStr">
        <x:is>
          <x:t xml:space="preserve">IAPP</x:t>
        </x:is>
      </x:c>
      <x:c r="C81" s="234" t="inlineStr">
        <x:is>
          <x:t xml:space="preserve">Amylin</x:t>
        </x:is>
      </x:c>
      <x:c r="D81" s="234" t="inlineStr">
        <x:is>
          <x:t xml:space="preserve">~13 minutes</x:t>
        </x:is>
      </x:c>
      <x:c r="E81" s="234" t="inlineStr">
        <x:is>
          <x:t xml:space="preserve">Native amylin</x:t>
        </x:is>
      </x:c>
      <x:c r="F81" s="234" t="inlineStr">
        <x:is>
          <x:t xml:space="preserve">SC/IV</x:t>
        </x:is>
      </x:c>
      <x:c r="G81" s="234" t="inlineStr">
        <x:is>
          <x:t xml:space="preserve">Approximate</x:t>
        </x:is>
      </x:c>
    </x:row>
    <x:row r="82">
      <x:c r="A82" s="234" t="inlineStr">
        <x:is>
          <x:t xml:space="preserve">Leptin</x:t>
        </x:is>
      </x:c>
      <x:c r="B82" s="234" t="inlineStr">
        <x:is>
          <x:t xml:space="preserve">Metreleptin</x:t>
        </x:is>
      </x:c>
      <x:c r="C82" s="234" t="inlineStr">
        <x:is>
          <x:t xml:space="preserve">Hormonal</x:t>
        </x:is>
      </x:c>
      <x:c r="D82" s="234" t="inlineStr">
        <x:is>
          <x:t xml:space="preserve">~3–4 hours</x:t>
        </x:is>
      </x:c>
      <x:c r="E82" s="234" t="inlineStr">
        <x:is>
          <x:t xml:space="preserve">Protein hormone</x:t>
        </x:is>
      </x:c>
      <x:c r="F82" s="234" t="inlineStr">
        <x:is>
          <x:t xml:space="preserve">SC</x:t>
        </x:is>
      </x:c>
      <x:c r="G82" s="234" t="inlineStr">
        <x:is>
          <x:t xml:space="preserve">Approximate</x:t>
        </x:is>
      </x:c>
    </x:row>
    <x:row r="83">
      <x:c r="A83" s="234" t="inlineStr">
        <x:is>
          <x:t xml:space="preserve">Insulin Lispro</x:t>
        </x:is>
      </x:c>
      <x:c r="B83" s="234" t="inlineStr">
        <x:is>
          <x:t xml:space="preserve">Lispro</x:t>
        </x:is>
      </x:c>
      <x:c r="C83" s="234" t="inlineStr">
        <x:is>
          <x:t xml:space="preserve">Insulin analog</x:t>
        </x:is>
      </x:c>
      <x:c r="D83" s="234" t="inlineStr">
        <x:is>
          <x:t xml:space="preserve">~1 hour</x:t>
        </x:is>
      </x:c>
      <x:c r="E83" s="234" t="inlineStr">
        <x:is>
          <x:t xml:space="preserve">Rapid-acting insulin analog</x:t>
        </x:is>
      </x:c>
      <x:c r="F83" s="234" t="inlineStr">
        <x:is>
          <x:t xml:space="preserve">SC</x:t>
        </x:is>
      </x:c>
      <x:c r="G83" s="234" t="inlineStr">
        <x:is>
          <x:t xml:space="preserve">Approximate</x:t>
        </x:is>
      </x:c>
    </x:row>
    <x:row r="84">
      <x:c r="A84" s="234" t="inlineStr">
        <x:is>
          <x:t xml:space="preserve">Insulin Aspart</x:t>
        </x:is>
      </x:c>
      <x:c r="B84" s="234" t="inlineStr">
        <x:is>
          <x:t xml:space="preserve">Aspart</x:t>
        </x:is>
      </x:c>
      <x:c r="C84" s="234" t="inlineStr">
        <x:is>
          <x:t xml:space="preserve">Insulin analog</x:t>
        </x:is>
      </x:c>
      <x:c r="D84" s="234" t="inlineStr">
        <x:is>
          <x:t xml:space="preserve">~1 hour</x:t>
        </x:is>
      </x:c>
      <x:c r="E84" s="234" t="inlineStr">
        <x:is>
          <x:t xml:space="preserve">Rapid-acting insulin analog</x:t>
        </x:is>
      </x:c>
      <x:c r="F84" s="234" t="inlineStr">
        <x:is>
          <x:t xml:space="preserve">SC</x:t>
        </x:is>
      </x:c>
      <x:c r="G84" s="234" t="inlineStr">
        <x:is>
          <x:t xml:space="preserve">Approximate</x:t>
        </x:is>
      </x:c>
    </x:row>
    <x:row r="85">
      <x:c r="A85" s="234" t="inlineStr">
        <x:is>
          <x:t xml:space="preserve">Insulin Glargine</x:t>
        </x:is>
      </x:c>
      <x:c r="B85" s="234" t="inlineStr">
        <x:is>
          <x:t xml:space="preserve">Glargine</x:t>
        </x:is>
      </x:c>
      <x:c r="C85" s="234" t="inlineStr">
        <x:is>
          <x:t xml:space="preserve">Insulin analog</x:t>
        </x:is>
      </x:c>
      <x:c r="D85" s="234" t="inlineStr">
        <x:is>
          <x:t xml:space="preserve">~12 hours apparent</x:t>
        </x:is>
      </x:c>
      <x:c r="E85" s="234" t="inlineStr">
        <x:is>
          <x:t xml:space="preserve">Long-acting formulation</x:t>
        </x:is>
      </x:c>
      <x:c r="F85" s="234" t="inlineStr">
        <x:is>
          <x:t xml:space="preserve">SC</x:t>
        </x:is>
      </x:c>
      <x:c r="G85" s="234" t="inlineStr">
        <x:is>
          <x:t xml:space="preserve">Formulation-dependent</x:t>
        </x:is>
      </x:c>
    </x:row>
    <x:row r="86">
      <x:c r="A86" s="234" t="inlineStr">
        <x:is>
          <x:t xml:space="preserve">GIP</x:t>
        </x:is>
      </x:c>
      <x:c r="B86" s="234" t="inlineStr">
        <x:is>
          <x:t xml:space="preserve">GIP</x:t>
        </x:is>
      </x:c>
      <x:c r="C86" s="234" t="inlineStr">
        <x:is>
          <x:t xml:space="preserve">Incretin</x:t>
        </x:is>
      </x:c>
      <x:c r="D86" s="234" t="inlineStr">
        <x:is>
          <x:t xml:space="preserve">~7 minutes</x:t>
        </x:is>
      </x:c>
      <x:c r="E86" s="234" t="inlineStr">
        <x:is>
          <x:t xml:space="preserve">Native incretin peptide</x:t>
        </x:is>
      </x:c>
      <x:c r="F86" s="234" t="inlineStr">
        <x:is>
          <x:t xml:space="preserve">IV/SC</x:t>
        </x:is>
      </x:c>
      <x:c r="G86" s="234" t="inlineStr">
        <x:is>
          <x:t xml:space="preserve">Approximate</x:t>
        </x:is>
      </x:c>
    </x:row>
    <x:row r="87">
      <x:c r="A87" s="234" t="inlineStr">
        <x:is>
          <x:t xml:space="preserve">GLP-1 Native</x:t>
        </x:is>
      </x:c>
      <x:c r="B87" s="234" t="inlineStr">
        <x:is>
          <x:t xml:space="preserve">GLP-1</x:t>
        </x:is>
      </x:c>
      <x:c r="C87" s="234" t="inlineStr">
        <x:is>
          <x:t xml:space="preserve">Incretin</x:t>
        </x:is>
      </x:c>
      <x:c r="D87" s="234" t="inlineStr">
        <x:is>
          <x:t xml:space="preserve">~1–2 minutes</x:t>
        </x:is>
      </x:c>
      <x:c r="E87" s="234" t="inlineStr">
        <x:is>
          <x:t xml:space="preserve">Native GLP-1</x:t>
        </x:is>
      </x:c>
      <x:c r="F87" s="234" t="inlineStr">
        <x:is>
          <x:t xml:space="preserve">IV/SC</x:t>
        </x:is>
      </x:c>
      <x:c r="G87" s="234" t="inlineStr">
        <x:is>
          <x:t xml:space="preserve">Approximate</x:t>
        </x:is>
      </x:c>
    </x:row>
    <x:row r="88">
      <x:c r="A88" s="234" t="inlineStr">
        <x:is>
          <x:t xml:space="preserve">Glucagon</x:t>
        </x:is>
      </x:c>
      <x:c r="B88" s="234" t="inlineStr">
        <x:is>
          <x:t xml:space="preserve">GCG</x:t>
        </x:is>
      </x:c>
      <x:c r="C88" s="234" t="inlineStr">
        <x:is>
          <x:t xml:space="preserve">Hormonal</x:t>
        </x:is>
      </x:c>
      <x:c r="D88" s="234" t="inlineStr">
        <x:is>
          <x:t xml:space="preserve">~3–6 minutes</x:t>
        </x:is>
      </x:c>
      <x:c r="E88" s="234" t="inlineStr">
        <x:is>
          <x:t xml:space="preserve">Peptide hormone</x:t>
        </x:is>
      </x:c>
      <x:c r="F88" s="234" t="inlineStr">
        <x:is>
          <x:t xml:space="preserve">Injection</x:t>
        </x:is>
      </x:c>
      <x:c r="G88" s="234" t="inlineStr">
        <x:is>
          <x:t xml:space="preserve">Approximate</x:t>
        </x:is>
      </x:c>
    </x:row>
  </x:sheetData>
  <x:mergeCells>
    <x:mergeCell ref="A1:G1"/>
  </x:mergeCells>
  <x:pageMargins left="0.7" right="0.7" top="0.75" bottom="0.75" header="0.3" footer="0.3"/>
  <x:tableParts count="1">
    <x:tablePart xmlns:r="http://schemas.openxmlformats.org/officeDocument/2006/relationships" r:id="Rbc3c0b83506a4ae0"/>
  </x:tableParts>
</x:worksheet>
</file>

<file path=xl/worksheets/sheet12.xml><?xml version="1.0" encoding="utf-8"?>
<x:worksheet xmlns:x="http://schemas.openxmlformats.org/spreadsheetml/2006/main">
  <x:sheetFormatPr baseColWidth="8" defaultRowHeight="15"/>
  <x:sheetData>
    <x:row r="1">
      <x:c r="A1" t="inlineStr">
        <x:is>
          <x:t xml:space="preserve">COA_Reta30_Kovera</x:t>
        </x:is>
      </x:c>
    </x:row>
  </x:sheetData>
  <x:pageMargins left="0.7" right="0.7" top="0.75" bottom="0.75" header="0.3" footer="0.3"/>
  <x:drawing xmlns:r="http://schemas.openxmlformats.org/officeDocument/2006/relationships" r:id="Rbdc05f4ad6c74734"/>
</x:worksheet>
</file>

<file path=xl/worksheets/sheet13.xml><?xml version="1.0" encoding="utf-8"?>
<x:worksheet xmlns:x="http://schemas.openxmlformats.org/spreadsheetml/2006/main">
  <x:sheetFormatPr baseColWidth="8" defaultRowHeight="15"/>
  <x:sheetData>
    <x:row r="1">
      <x:c r="A1" t="inlineStr">
        <x:is>
          <x:t xml:space="preserve">COA_Reta40_Kovera</x:t>
        </x:is>
      </x:c>
    </x:row>
  </x:sheetData>
  <x:pageMargins left="0.7" right="0.7" top="0.75" bottom="0.75" header="0.3" footer="0.3"/>
  <x:drawing xmlns:r="http://schemas.openxmlformats.org/officeDocument/2006/relationships" r:id="R2329b0328f784441"/>
</x:worksheet>
</file>

<file path=xl/worksheets/sheet14.xml><?xml version="1.0" encoding="utf-8"?>
<x:worksheet xmlns:x="http://schemas.openxmlformats.org/spreadsheetml/2006/main">
  <x:sheetFormatPr baseColWidth="8" defaultRowHeight="15"/>
  <x:sheetData>
    <x:row r="1">
      <x:c r="A1" t="inlineStr">
        <x:is>
          <x:t xml:space="preserve">COA_Adamax_SteriGenix</x:t>
        </x:is>
      </x:c>
    </x:row>
  </x:sheetData>
  <x:pageMargins left="0.7" right="0.7" top="0.75" bottom="0.75" header="0.3" footer="0.3"/>
  <x:drawing xmlns:r="http://schemas.openxmlformats.org/officeDocument/2006/relationships" r:id="R004972f4506c4ae3"/>
</x:worksheet>
</file>